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040"/>
  </bookViews>
  <sheets>
    <sheet name="Charts1" sheetId="1" r:id="rId1"/>
    <sheet name="Charts2" sheetId="2" r:id="rId2"/>
    <sheet name="Charts3" sheetId="3" r:id="rId3"/>
    <sheet name="Charts4" sheetId="4" r:id="rId4"/>
    <sheet name="Charts5" sheetId="5" r:id="rId5"/>
  </sheets>
  <externalReferences>
    <externalReference r:id="rId6"/>
  </externalReferences>
  <definedNames>
    <definedName name="_xlchart.v1.0" hidden="1">[1]Waterfall!$C$6:$C$17</definedName>
    <definedName name="_xlchart.v1.1" hidden="1">[1]Waterfall!$D$5</definedName>
    <definedName name="_xlchart.v1.2" hidden="1">[1]Waterfall!$D$6:$D$17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/>
  <c r="E8"/>
  <c r="E9"/>
  <c r="E10"/>
  <c r="E11"/>
  <c r="E12"/>
  <c r="E13"/>
  <c r="E17" i="5" l="1"/>
  <c r="E16"/>
  <c r="E15"/>
  <c r="E14"/>
  <c r="E13"/>
  <c r="E12"/>
  <c r="E11"/>
  <c r="E10"/>
  <c r="E9"/>
  <c r="E8"/>
  <c r="E7"/>
  <c r="C17" i="4"/>
  <c r="C25" i="2"/>
  <c r="D23"/>
  <c r="E23" s="1"/>
  <c r="D22"/>
  <c r="E22" s="1"/>
  <c r="D21"/>
  <c r="E21" s="1"/>
  <c r="D20"/>
  <c r="D19"/>
  <c r="D18"/>
  <c r="D17"/>
  <c r="D16"/>
  <c r="D15"/>
  <c r="E15" s="1"/>
  <c r="D14"/>
  <c r="D13"/>
  <c r="D12"/>
  <c r="D11"/>
  <c r="D10"/>
  <c r="D9"/>
  <c r="D8"/>
  <c r="D7"/>
  <c r="E16" l="1"/>
  <c r="E19"/>
  <c r="E20"/>
  <c r="E17"/>
  <c r="E18"/>
  <c r="E14"/>
</calcChain>
</file>

<file path=xl/sharedStrings.xml><?xml version="1.0" encoding="utf-8"?>
<sst xmlns="http://schemas.openxmlformats.org/spreadsheetml/2006/main" count="56" uniqueCount="45">
  <si>
    <t>Create Line Chart with Proper formatting</t>
  </si>
  <si>
    <t>Should be formatted as shown in picture</t>
  </si>
  <si>
    <t>Question Plot</t>
  </si>
  <si>
    <t>Date</t>
  </si>
  <si>
    <t>Revenue'000</t>
  </si>
  <si>
    <t>Create Combo Chart with Proper formatting</t>
  </si>
  <si>
    <t>Running Total</t>
  </si>
  <si>
    <t>%</t>
  </si>
  <si>
    <t>Total</t>
  </si>
  <si>
    <t>Create Scatter Chart with Proper formatting</t>
  </si>
  <si>
    <t>X</t>
  </si>
  <si>
    <t>Y</t>
  </si>
  <si>
    <t>horsepower</t>
  </si>
  <si>
    <t>weight</t>
  </si>
  <si>
    <t>(X-XBAR)</t>
  </si>
  <si>
    <t>(Y-YBAR)</t>
  </si>
  <si>
    <t>Create Waterfall Chart with Proper formatting</t>
  </si>
  <si>
    <t>Period</t>
  </si>
  <si>
    <t>Net Cash Flow</t>
  </si>
  <si>
    <t>Start Balance</t>
  </si>
  <si>
    <t>JAN FY2022</t>
  </si>
  <si>
    <t>FEB FY2022</t>
  </si>
  <si>
    <t>MAR FY2022</t>
  </si>
  <si>
    <t>APR FY2022</t>
  </si>
  <si>
    <t>MAY FY2022</t>
  </si>
  <si>
    <t>JUN FY2022</t>
  </si>
  <si>
    <t>JUL FY2022</t>
  </si>
  <si>
    <t>AUG FY2022</t>
  </si>
  <si>
    <t>SEP FY2022</t>
  </si>
  <si>
    <t>OCT FY2022</t>
  </si>
  <si>
    <t>Current Balance</t>
  </si>
  <si>
    <t>Task Description</t>
  </si>
  <si>
    <t>Start 
Date</t>
  </si>
  <si>
    <t>Planned 
End Date</t>
  </si>
  <si>
    <t>Work Days Planned</t>
  </si>
  <si>
    <t>Main task 1</t>
  </si>
  <si>
    <t>Sub-task 1</t>
  </si>
  <si>
    <t>Sub-task 2</t>
  </si>
  <si>
    <t>Sub-task 3</t>
  </si>
  <si>
    <t>Sub-task 4</t>
  </si>
  <si>
    <t>Sub-task 5</t>
  </si>
  <si>
    <t>Sub-task 6</t>
  </si>
  <si>
    <t>Main task 2</t>
  </si>
  <si>
    <t>Create Gantt Chart with Proper formatting</t>
  </si>
  <si>
    <t>ANSWER PLOT</t>
  </si>
</sst>
</file>

<file path=xl/styles.xml><?xml version="1.0" encoding="utf-8"?>
<styleSheet xmlns="http://schemas.openxmlformats.org/spreadsheetml/2006/main">
  <numFmts count="4">
    <numFmt numFmtId="6" formatCode="&quot;₹&quot;\ #,##0;[Red]&quot;₹&quot;\ \-#,##0"/>
    <numFmt numFmtId="8" formatCode="&quot;₹&quot;\ #,##0.00;[Red]&quot;₹&quot;\ \-#,##0.00"/>
    <numFmt numFmtId="164" formatCode="&quot;$&quot;#,##0_);[Red]\(&quot;$&quot;#,##0\)"/>
    <numFmt numFmtId="165" formatCode="dd\-mmm\-yy;;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8D08D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6" fontId="5" fillId="0" borderId="3" xfId="0" applyNumberFormat="1" applyFont="1" applyBorder="1"/>
    <xf numFmtId="0" fontId="5" fillId="0" borderId="4" xfId="0" applyFont="1" applyBorder="1"/>
    <xf numFmtId="6" fontId="5" fillId="0" borderId="1" xfId="0" applyNumberFormat="1" applyFont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horizontal="right"/>
    </xf>
    <xf numFmtId="14" fontId="5" fillId="0" borderId="5" xfId="0" applyNumberFormat="1" applyFont="1" applyBorder="1"/>
    <xf numFmtId="164" fontId="5" fillId="0" borderId="5" xfId="0" applyNumberFormat="1" applyFont="1" applyBorder="1"/>
    <xf numFmtId="9" fontId="5" fillId="0" borderId="5" xfId="0" applyNumberFormat="1" applyFont="1" applyBorder="1"/>
    <xf numFmtId="0" fontId="5" fillId="0" borderId="5" xfId="0" applyFont="1" applyBorder="1"/>
    <xf numFmtId="4" fontId="5" fillId="0" borderId="5" xfId="0" applyNumberFormat="1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/>
    <xf numFmtId="0" fontId="6" fillId="3" borderId="6" xfId="0" applyFont="1" applyFill="1" applyBorder="1"/>
    <xf numFmtId="0" fontId="5" fillId="4" borderId="6" xfId="0" applyFont="1" applyFill="1" applyBorder="1"/>
    <xf numFmtId="0" fontId="5" fillId="0" borderId="6" xfId="0" applyFont="1" applyBorder="1"/>
    <xf numFmtId="0" fontId="0" fillId="0" borderId="5" xfId="0" applyBorder="1"/>
    <xf numFmtId="8" fontId="0" fillId="0" borderId="5" xfId="0" applyNumberFormat="1" applyBorder="1"/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15" fontId="10" fillId="0" borderId="0" xfId="0" applyNumberFormat="1" applyFont="1" applyAlignment="1" applyProtection="1">
      <alignment horizontal="right"/>
      <protection locked="0"/>
    </xf>
    <xf numFmtId="1" fontId="10" fillId="0" borderId="0" xfId="0" applyNumberFormat="1" applyFont="1" applyAlignment="1">
      <alignment horizontal="center"/>
    </xf>
    <xf numFmtId="0" fontId="10" fillId="0" borderId="9" xfId="0" applyFont="1" applyBorder="1" applyProtection="1">
      <protection locked="0"/>
    </xf>
    <xf numFmtId="165" fontId="10" fillId="0" borderId="9" xfId="0" applyNumberFormat="1" applyFont="1" applyBorder="1" applyAlignment="1" applyProtection="1">
      <alignment horizontal="right"/>
      <protection locked="0"/>
    </xf>
    <xf numFmtId="15" fontId="10" fillId="0" borderId="9" xfId="0" applyNumberFormat="1" applyFont="1" applyBorder="1" applyAlignment="1" applyProtection="1">
      <alignment horizontal="right"/>
      <protection locked="0"/>
    </xf>
    <xf numFmtId="0" fontId="0" fillId="0" borderId="0" xfId="0" applyBorder="1"/>
    <xf numFmtId="8" fontId="0" fillId="0" borderId="0" xfId="0" applyNumberFormat="1" applyBorder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'000</a:t>
            </a:r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strRef>
              <c:f>Charts1!$C$5</c:f>
              <c:strCache>
                <c:ptCount val="1"/>
                <c:pt idx="0">
                  <c:v>Revenue'000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pPr>
              <a:ln>
                <a:solidFill>
                  <a:srgbClr val="0070C0"/>
                </a:solidFill>
              </a:ln>
            </c:spPr>
          </c:marker>
          <c:dLbls>
            <c:dLbl>
              <c:idx val="0"/>
              <c:layout>
                <c:manualLayout>
                  <c:x val="-3.6376598040182936E-2"/>
                  <c:y val="-5.6185065642990355E-2"/>
                </c:manualLayout>
              </c:layout>
              <c:showVal val="1"/>
            </c:dLbl>
            <c:dLbl>
              <c:idx val="1"/>
              <c:layout>
                <c:manualLayout>
                  <c:x val="-5.834993151997496E-2"/>
                  <c:y val="-7.4405972788114907E-2"/>
                </c:manualLayout>
              </c:layout>
              <c:showVal val="1"/>
            </c:dLbl>
            <c:dLbl>
              <c:idx val="2"/>
              <c:layout>
                <c:manualLayout>
                  <c:x val="-4.4191364523545301E-2"/>
                  <c:y val="-5.6185065642990355E-2"/>
                </c:manualLayout>
              </c:layout>
              <c:showVal val="1"/>
            </c:dLbl>
            <c:dLbl>
              <c:idx val="3"/>
              <c:layout>
                <c:manualLayout>
                  <c:x val="-3.8397520153526432E-2"/>
                  <c:y val="-3.6118970770493808E-2"/>
                </c:manualLayout>
              </c:layout>
              <c:showVal val="1"/>
            </c:dLbl>
            <c:dLbl>
              <c:idx val="4"/>
              <c:layout>
                <c:manualLayout>
                  <c:x val="-2.2230143246778467E-2"/>
                  <c:y val="-3.2105751795994494E-2"/>
                </c:manualLayout>
              </c:layout>
              <c:showVal val="1"/>
            </c:dLbl>
            <c:dLbl>
              <c:idx val="5"/>
              <c:layout>
                <c:manualLayout>
                  <c:x val="-4.9968409225543624E-2"/>
                  <c:y val="-7.7214586695326756E-2"/>
                </c:manualLayout>
              </c:layout>
              <c:showVal val="1"/>
            </c:dLbl>
            <c:dLbl>
              <c:idx val="6"/>
              <c:layout>
                <c:manualLayout>
                  <c:x val="-3.8397520153526432E-2"/>
                  <c:y val="-4.0132189744993114E-2"/>
                </c:manualLayout>
              </c:layout>
              <c:showVal val="1"/>
            </c:dLbl>
            <c:dLbl>
              <c:idx val="7"/>
              <c:layout>
                <c:manualLayout>
                  <c:x val="-4.1890675831239066E-2"/>
                  <c:y val="-6.4211503591989058E-2"/>
                </c:manualLayout>
              </c:layout>
              <c:showVal val="1"/>
            </c:dLbl>
            <c:dLbl>
              <c:idx val="8"/>
              <c:layout>
                <c:manualLayout>
                  <c:x val="-4.5589570701902095E-2"/>
                  <c:y val="-4.5229457474350102E-2"/>
                </c:manualLayout>
              </c:layout>
              <c:showVal val="1"/>
            </c:dLbl>
            <c:dLbl>
              <c:idx val="9"/>
              <c:layout>
                <c:manualLayout>
                  <c:x val="-5.9027770489473136E-2"/>
                  <c:y val="-6.4211503591989058E-2"/>
                </c:manualLayout>
              </c:layout>
              <c:showVal val="1"/>
            </c:dLbl>
            <c:dLbl>
              <c:idx val="10"/>
              <c:layout>
                <c:manualLayout>
                  <c:x val="-5.9027770489473219E-2"/>
                  <c:y val="-5.6185065642990355E-2"/>
                </c:manualLayout>
              </c:layout>
              <c:showVal val="1"/>
            </c:dLbl>
            <c:dLbl>
              <c:idx val="11"/>
              <c:layout>
                <c:manualLayout>
                  <c:x val="-4.3882201610944249E-2"/>
                  <c:y val="-4.8640544940751887E-2"/>
                </c:manualLayout>
              </c:layout>
              <c:showVal val="1"/>
            </c:dLbl>
            <c:dLbl>
              <c:idx val="12"/>
              <c:layout>
                <c:manualLayout>
                  <c:x val="-5.7101714290456983E-2"/>
                  <c:y val="-6.0559496460996759E-2"/>
                </c:manualLayout>
              </c:layout>
              <c:showVal val="1"/>
            </c:dLbl>
            <c:dLbl>
              <c:idx val="13"/>
              <c:layout>
                <c:manualLayout>
                  <c:x val="-3.8104268971101155E-2"/>
                  <c:y val="-6.8585967541289386E-2"/>
                </c:manualLayout>
              </c:layout>
              <c:showVal val="1"/>
            </c:dLbl>
            <c:dLbl>
              <c:idx val="14"/>
              <c:layout>
                <c:manualLayout>
                  <c:x val="-4.9463460745257731E-2"/>
                  <c:y val="-4.0854933089957017E-2"/>
                </c:manualLayout>
              </c:layout>
              <c:showVal val="1"/>
            </c:dLbl>
            <c:showVal val="1"/>
          </c:dLbls>
          <c:val>
            <c:numRef>
              <c:f>Charts1!$C$6:$C$20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</c:ser>
        <c:marker val="1"/>
        <c:axId val="122800768"/>
        <c:axId val="122696064"/>
      </c:lineChart>
      <c:catAx>
        <c:axId val="122800768"/>
        <c:scaling>
          <c:orientation val="minMax"/>
        </c:scaling>
        <c:axPos val="b"/>
        <c:tickLblPos val="nextTo"/>
        <c:crossAx val="122696064"/>
        <c:crosses val="autoZero"/>
        <c:auto val="1"/>
        <c:lblAlgn val="ctr"/>
        <c:lblOffset val="100"/>
      </c:catAx>
      <c:valAx>
        <c:axId val="122696064"/>
        <c:scaling>
          <c:orientation val="minMax"/>
        </c:scaling>
        <c:delete val="1"/>
        <c:axPos val="l"/>
        <c:numFmt formatCode="&quot;₹&quot;\ #,##0;[Red]&quot;₹&quot;\ \-#,##0" sourceLinked="1"/>
        <c:tickLblPos val="nextTo"/>
        <c:crossAx val="12280076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Charts2!$C$5</c:f>
              <c:strCache>
                <c:ptCount val="1"/>
                <c:pt idx="0">
                  <c:v>Revenue'000</c:v>
                </c:pt>
              </c:strCache>
            </c:strRef>
          </c:tx>
          <c:cat>
            <c:numRef>
              <c:f>Charts2!$B$6:$B$23</c:f>
              <c:numCache>
                <c:formatCode>dd/mm/yy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Charts2!$C$6:$C$23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</c:ser>
        <c:ser>
          <c:idx val="2"/>
          <c:order val="2"/>
          <c:tx>
            <c:strRef>
              <c:f>Charts2!$E$5</c:f>
              <c:strCache>
                <c:ptCount val="1"/>
                <c:pt idx="0">
                  <c:v>%</c:v>
                </c:pt>
              </c:strCache>
            </c:strRef>
          </c:tx>
          <c:cat>
            <c:numRef>
              <c:f>Charts2!$B$6:$B$23</c:f>
              <c:numCache>
                <c:formatCode>dd/mm/yy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Charts2!$E$6:$E$23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</c:ser>
        <c:axId val="44695936"/>
        <c:axId val="44697472"/>
      </c:barChart>
      <c:lineChart>
        <c:grouping val="standard"/>
        <c:ser>
          <c:idx val="1"/>
          <c:order val="1"/>
          <c:tx>
            <c:strRef>
              <c:f>Charts2!$D$5</c:f>
              <c:strCache>
                <c:ptCount val="1"/>
                <c:pt idx="0">
                  <c:v>Running Total</c:v>
                </c:pt>
              </c:strCache>
            </c:strRef>
          </c:tx>
          <c:cat>
            <c:numRef>
              <c:f>Charts2!$B$6:$B$23</c:f>
              <c:numCache>
                <c:formatCode>dd/mm/yy</c:formatCode>
                <c:ptCount val="18"/>
                <c:pt idx="0">
                  <c:v>38353</c:v>
                </c:pt>
                <c:pt idx="1">
                  <c:v>38718</c:v>
                </c:pt>
                <c:pt idx="2">
                  <c:v>39083</c:v>
                </c:pt>
                <c:pt idx="3">
                  <c:v>39448</c:v>
                </c:pt>
                <c:pt idx="4">
                  <c:v>39814</c:v>
                </c:pt>
                <c:pt idx="5">
                  <c:v>40179</c:v>
                </c:pt>
                <c:pt idx="6">
                  <c:v>40544</c:v>
                </c:pt>
                <c:pt idx="7">
                  <c:v>40909</c:v>
                </c:pt>
                <c:pt idx="8">
                  <c:v>41275</c:v>
                </c:pt>
                <c:pt idx="9">
                  <c:v>41640</c:v>
                </c:pt>
                <c:pt idx="10">
                  <c:v>42005</c:v>
                </c:pt>
                <c:pt idx="11">
                  <c:v>42370</c:v>
                </c:pt>
                <c:pt idx="12">
                  <c:v>42736</c:v>
                </c:pt>
                <c:pt idx="13">
                  <c:v>43101</c:v>
                </c:pt>
                <c:pt idx="14">
                  <c:v>43466</c:v>
                </c:pt>
                <c:pt idx="15">
                  <c:v>43831</c:v>
                </c:pt>
                <c:pt idx="16">
                  <c:v>44197</c:v>
                </c:pt>
                <c:pt idx="17">
                  <c:v>44562</c:v>
                </c:pt>
              </c:numCache>
            </c:numRef>
          </c:cat>
          <c:val>
            <c:numRef>
              <c:f>Charts2!$D$6:$D$23</c:f>
              <c:numCache>
                <c:formatCode>#,##0.00</c:formatCode>
                <c:ptCount val="18"/>
                <c:pt idx="1">
                  <c:v>5078</c:v>
                </c:pt>
                <c:pt idx="2">
                  <c:v>13267</c:v>
                </c:pt>
                <c:pt idx="3">
                  <c:v>14997</c:v>
                </c:pt>
                <c:pt idx="4">
                  <c:v>20259</c:v>
                </c:pt>
                <c:pt idx="5">
                  <c:v>22431</c:v>
                </c:pt>
                <c:pt idx="6">
                  <c:v>26815</c:v>
                </c:pt>
                <c:pt idx="7">
                  <c:v>35524</c:v>
                </c:pt>
                <c:pt idx="8">
                  <c:v>39142</c:v>
                </c:pt>
                <c:pt idx="9">
                  <c:v>45514</c:v>
                </c:pt>
                <c:pt idx="10">
                  <c:v>48970</c:v>
                </c:pt>
                <c:pt idx="11">
                  <c:v>56448</c:v>
                </c:pt>
                <c:pt idx="12">
                  <c:v>61097</c:v>
                </c:pt>
                <c:pt idx="13">
                  <c:v>66928</c:v>
                </c:pt>
                <c:pt idx="14">
                  <c:v>68527</c:v>
                </c:pt>
                <c:pt idx="15">
                  <c:v>72222</c:v>
                </c:pt>
                <c:pt idx="16">
                  <c:v>73900</c:v>
                </c:pt>
                <c:pt idx="17">
                  <c:v>77390</c:v>
                </c:pt>
              </c:numCache>
            </c:numRef>
          </c:val>
        </c:ser>
        <c:marker val="1"/>
        <c:axId val="44695936"/>
        <c:axId val="44697472"/>
      </c:lineChart>
      <c:dateAx>
        <c:axId val="44695936"/>
        <c:scaling>
          <c:orientation val="minMax"/>
        </c:scaling>
        <c:axPos val="b"/>
        <c:numFmt formatCode="dd/mm/yy" sourceLinked="1"/>
        <c:tickLblPos val="nextTo"/>
        <c:crossAx val="44697472"/>
        <c:crosses val="autoZero"/>
        <c:auto val="1"/>
        <c:lblOffset val="100"/>
      </c:dateAx>
      <c:valAx>
        <c:axId val="44697472"/>
        <c:scaling>
          <c:orientation val="minMax"/>
        </c:scaling>
        <c:axPos val="l"/>
        <c:majorGridlines/>
        <c:numFmt formatCode="&quot;$&quot;#,##0_);[Red]\(&quot;$&quot;#,##0\)" sourceLinked="1"/>
        <c:tickLblPos val="nextTo"/>
        <c:crossAx val="4469593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Weight vs Horsepower</c:v>
          </c:tx>
          <c:spPr>
            <a:ln w="19050">
              <a:noFill/>
            </a:ln>
          </c:spPr>
          <c:trendline>
            <c:spPr>
              <a:ln w="25400">
                <a:solidFill>
                  <a:srgbClr val="C00000"/>
                </a:solidFill>
                <a:prstDash val="dash"/>
                <a:tailEnd type="arrow"/>
              </a:ln>
            </c:spPr>
            <c:trendlineType val="linear"/>
          </c:trendline>
          <c:xVal>
            <c:numRef>
              <c:f>Charts3!$B$6:$B$37</c:f>
              <c:numCache>
                <c:formatCode>General</c:formatCode>
                <c:ptCount val="32"/>
                <c:pt idx="0">
                  <c:v>130</c:v>
                </c:pt>
                <c:pt idx="1">
                  <c:v>165</c:v>
                </c:pt>
                <c:pt idx="2">
                  <c:v>150</c:v>
                </c:pt>
                <c:pt idx="3">
                  <c:v>150</c:v>
                </c:pt>
                <c:pt idx="4">
                  <c:v>140</c:v>
                </c:pt>
                <c:pt idx="5">
                  <c:v>198</c:v>
                </c:pt>
                <c:pt idx="6">
                  <c:v>220</c:v>
                </c:pt>
                <c:pt idx="7">
                  <c:v>215</c:v>
                </c:pt>
                <c:pt idx="8">
                  <c:v>225</c:v>
                </c:pt>
                <c:pt idx="9">
                  <c:v>190</c:v>
                </c:pt>
                <c:pt idx="10">
                  <c:v>170</c:v>
                </c:pt>
                <c:pt idx="11">
                  <c:v>160</c:v>
                </c:pt>
                <c:pt idx="12">
                  <c:v>150</c:v>
                </c:pt>
                <c:pt idx="13">
                  <c:v>225</c:v>
                </c:pt>
                <c:pt idx="14">
                  <c:v>95</c:v>
                </c:pt>
                <c:pt idx="15">
                  <c:v>95</c:v>
                </c:pt>
                <c:pt idx="16">
                  <c:v>97</c:v>
                </c:pt>
                <c:pt idx="17">
                  <c:v>85</c:v>
                </c:pt>
                <c:pt idx="18">
                  <c:v>88</c:v>
                </c:pt>
                <c:pt idx="19">
                  <c:v>46</c:v>
                </c:pt>
                <c:pt idx="20">
                  <c:v>87</c:v>
                </c:pt>
                <c:pt idx="21">
                  <c:v>90</c:v>
                </c:pt>
                <c:pt idx="22">
                  <c:v>95</c:v>
                </c:pt>
                <c:pt idx="23">
                  <c:v>113</c:v>
                </c:pt>
                <c:pt idx="24">
                  <c:v>90</c:v>
                </c:pt>
                <c:pt idx="25">
                  <c:v>215</c:v>
                </c:pt>
                <c:pt idx="26">
                  <c:v>200</c:v>
                </c:pt>
                <c:pt idx="27">
                  <c:v>210</c:v>
                </c:pt>
                <c:pt idx="28">
                  <c:v>193</c:v>
                </c:pt>
                <c:pt idx="29">
                  <c:v>88</c:v>
                </c:pt>
                <c:pt idx="30">
                  <c:v>90</c:v>
                </c:pt>
                <c:pt idx="31">
                  <c:v>95</c:v>
                </c:pt>
              </c:numCache>
            </c:numRef>
          </c:xVal>
          <c:yVal>
            <c:numRef>
              <c:f>Charts3!$C$6:$C$37</c:f>
              <c:numCache>
                <c:formatCode>General</c:formatCode>
                <c:ptCount val="32"/>
                <c:pt idx="0">
                  <c:v>3504</c:v>
                </c:pt>
                <c:pt idx="1">
                  <c:v>3693</c:v>
                </c:pt>
                <c:pt idx="2">
                  <c:v>3436</c:v>
                </c:pt>
                <c:pt idx="3">
                  <c:v>3433</c:v>
                </c:pt>
                <c:pt idx="4">
                  <c:v>3449</c:v>
                </c:pt>
                <c:pt idx="5">
                  <c:v>4341</c:v>
                </c:pt>
                <c:pt idx="6">
                  <c:v>4354</c:v>
                </c:pt>
                <c:pt idx="7">
                  <c:v>4312</c:v>
                </c:pt>
                <c:pt idx="8">
                  <c:v>4425</c:v>
                </c:pt>
                <c:pt idx="9">
                  <c:v>3850</c:v>
                </c:pt>
                <c:pt idx="10">
                  <c:v>3563</c:v>
                </c:pt>
                <c:pt idx="11">
                  <c:v>3609</c:v>
                </c:pt>
                <c:pt idx="12">
                  <c:v>3761</c:v>
                </c:pt>
                <c:pt idx="13">
                  <c:v>3086</c:v>
                </c:pt>
                <c:pt idx="14">
                  <c:v>2372</c:v>
                </c:pt>
                <c:pt idx="15">
                  <c:v>2833</c:v>
                </c:pt>
                <c:pt idx="16">
                  <c:v>2774</c:v>
                </c:pt>
                <c:pt idx="17">
                  <c:v>2587</c:v>
                </c:pt>
                <c:pt idx="18">
                  <c:v>2130</c:v>
                </c:pt>
                <c:pt idx="19">
                  <c:v>1835</c:v>
                </c:pt>
                <c:pt idx="20">
                  <c:v>2672</c:v>
                </c:pt>
                <c:pt idx="21">
                  <c:v>2430</c:v>
                </c:pt>
                <c:pt idx="22">
                  <c:v>2375</c:v>
                </c:pt>
                <c:pt idx="23">
                  <c:v>2234</c:v>
                </c:pt>
                <c:pt idx="24">
                  <c:v>2648</c:v>
                </c:pt>
                <c:pt idx="25">
                  <c:v>4615</c:v>
                </c:pt>
                <c:pt idx="26">
                  <c:v>4376</c:v>
                </c:pt>
                <c:pt idx="27">
                  <c:v>4382</c:v>
                </c:pt>
                <c:pt idx="28">
                  <c:v>4732</c:v>
                </c:pt>
                <c:pt idx="29">
                  <c:v>2130</c:v>
                </c:pt>
                <c:pt idx="30">
                  <c:v>2264</c:v>
                </c:pt>
                <c:pt idx="31">
                  <c:v>2228</c:v>
                </c:pt>
              </c:numCache>
            </c:numRef>
          </c:yVal>
        </c:ser>
        <c:axId val="123413632"/>
        <c:axId val="123415168"/>
      </c:scatterChart>
      <c:valAx>
        <c:axId val="123413632"/>
        <c:scaling>
          <c:orientation val="minMax"/>
        </c:scaling>
        <c:axPos val="b"/>
        <c:numFmt formatCode="General" sourceLinked="1"/>
        <c:tickLblPos val="nextTo"/>
        <c:crossAx val="123415168"/>
        <c:crosses val="autoZero"/>
        <c:crossBetween val="midCat"/>
      </c:valAx>
      <c:valAx>
        <c:axId val="123415168"/>
        <c:scaling>
          <c:orientation val="minMax"/>
        </c:scaling>
        <c:axPos val="l"/>
        <c:majorGridlines/>
        <c:numFmt formatCode="General" sourceLinked="1"/>
        <c:tickLblPos val="nextTo"/>
        <c:crossAx val="1234136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stacked"/>
        <c:ser>
          <c:idx val="0"/>
          <c:order val="0"/>
          <c:tx>
            <c:strRef>
              <c:f>'[1]Gantt chart'!$D$6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'[1]Gantt chart'!$C$7:$C$17</c:f>
              <c:strCache>
                <c:ptCount val="11"/>
                <c:pt idx="0">
                  <c:v>Main task 1</c:v>
                </c:pt>
                <c:pt idx="1">
                  <c:v>Sub-task 1</c:v>
                </c:pt>
                <c:pt idx="2">
                  <c:v>Sub-task 2</c:v>
                </c:pt>
                <c:pt idx="3">
                  <c:v>Sub-task 3</c:v>
                </c:pt>
                <c:pt idx="4">
                  <c:v>Sub-task 4</c:v>
                </c:pt>
                <c:pt idx="5">
                  <c:v>Sub-task 5</c:v>
                </c:pt>
                <c:pt idx="6">
                  <c:v>Sub-task 6</c:v>
                </c:pt>
                <c:pt idx="7">
                  <c:v>Main task 2</c:v>
                </c:pt>
                <c:pt idx="8">
                  <c:v>Sub-task 1</c:v>
                </c:pt>
                <c:pt idx="9">
                  <c:v>Sub-task 2</c:v>
                </c:pt>
                <c:pt idx="10">
                  <c:v>Sub-task 3</c:v>
                </c:pt>
              </c:strCache>
            </c:strRef>
          </c:cat>
          <c:val>
            <c:numRef>
              <c:f>'[1]Gantt chart'!$D$7:$D$17</c:f>
              <c:numCache>
                <c:formatCode>General</c:formatCode>
                <c:ptCount val="11"/>
                <c:pt idx="0">
                  <c:v>40081</c:v>
                </c:pt>
                <c:pt idx="1">
                  <c:v>40081</c:v>
                </c:pt>
                <c:pt idx="2">
                  <c:v>40119</c:v>
                </c:pt>
                <c:pt idx="3">
                  <c:v>40148</c:v>
                </c:pt>
                <c:pt idx="4">
                  <c:v>40148</c:v>
                </c:pt>
                <c:pt idx="5">
                  <c:v>40168</c:v>
                </c:pt>
                <c:pt idx="6">
                  <c:v>40182</c:v>
                </c:pt>
                <c:pt idx="7">
                  <c:v>40182</c:v>
                </c:pt>
                <c:pt idx="8">
                  <c:v>40182</c:v>
                </c:pt>
                <c:pt idx="9">
                  <c:v>40189</c:v>
                </c:pt>
                <c:pt idx="10">
                  <c:v>40203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D4-415F-BF75-5863E9C3BB95}"/>
            </c:ext>
          </c:extLst>
        </c:ser>
        <c:ser>
          <c:idx val="1"/>
          <c:order val="1"/>
          <c:tx>
            <c:strRef>
              <c:f>'[1]Gantt chart'!$F$6</c:f>
              <c:strCache>
                <c:ptCount val="1"/>
                <c:pt idx="0">
                  <c:v>Work Days 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'[1]Gantt chart'!$F$7:$F$17</c:f>
              <c:numCache>
                <c:formatCode>General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D4-415F-BF75-5863E9C3BB95}"/>
            </c:ext>
          </c:extLst>
        </c:ser>
        <c:gapWidth val="52"/>
        <c:overlap val="100"/>
        <c:axId val="123599872"/>
        <c:axId val="123798272"/>
      </c:barChart>
      <c:catAx>
        <c:axId val="123599872"/>
        <c:scaling>
          <c:orientation val="maxMin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272"/>
        <c:crosses val="autoZero"/>
        <c:auto val="1"/>
        <c:lblAlgn val="ctr"/>
        <c:lblOffset val="100"/>
      </c:catAx>
      <c:valAx>
        <c:axId val="123798272"/>
        <c:scaling>
          <c:orientation val="minMax"/>
          <c:max val="40233"/>
          <c:min val="40081"/>
        </c:scaling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Charts5!$E$6</c:f>
              <c:strCache>
                <c:ptCount val="1"/>
                <c:pt idx="0">
                  <c:v>Work Days Planned</c:v>
                </c:pt>
              </c:strCache>
            </c:strRef>
          </c:tx>
          <c:cat>
            <c:multiLvlStrRef>
              <c:f>Charts5!$B$7:$D$17</c:f>
              <c:multiLvlStrCache>
                <c:ptCount val="11"/>
                <c:lvl>
                  <c:pt idx="0">
                    <c:v>03-Mar-10</c:v>
                  </c:pt>
                  <c:pt idx="1">
                    <c:v>17-Jan-10</c:v>
                  </c:pt>
                  <c:pt idx="2">
                    <c:v>29-Jan-10</c:v>
                  </c:pt>
                  <c:pt idx="3">
                    <c:v>21-Dec-09</c:v>
                  </c:pt>
                  <c:pt idx="4">
                    <c:v>15-Jan-10</c:v>
                  </c:pt>
                  <c:pt idx="5">
                    <c:v>15-Jan-10</c:v>
                  </c:pt>
                  <c:pt idx="6">
                    <c:v>29-Jan-10</c:v>
                  </c:pt>
                  <c:pt idx="7">
                    <c:v>24-Feb-10</c:v>
                  </c:pt>
                  <c:pt idx="8">
                    <c:v>11-Jan-10</c:v>
                  </c:pt>
                  <c:pt idx="9">
                    <c:v>26-Jan-10</c:v>
                  </c:pt>
                  <c:pt idx="10">
                    <c:v>24-Feb-10</c:v>
                  </c:pt>
                </c:lvl>
                <c:lvl>
                  <c:pt idx="0">
                    <c:v>25-Sep-09</c:v>
                  </c:pt>
                  <c:pt idx="1">
                    <c:v>25-Sep-09</c:v>
                  </c:pt>
                  <c:pt idx="2">
                    <c:v>02-Nov-09</c:v>
                  </c:pt>
                  <c:pt idx="3">
                    <c:v>01-Dec-09</c:v>
                  </c:pt>
                  <c:pt idx="4">
                    <c:v>01-Dec-09</c:v>
                  </c:pt>
                  <c:pt idx="5">
                    <c:v>21-Dec-09</c:v>
                  </c:pt>
                  <c:pt idx="6">
                    <c:v>04-Jan-10</c:v>
                  </c:pt>
                  <c:pt idx="7">
                    <c:v>04-Jan-10</c:v>
                  </c:pt>
                  <c:pt idx="8">
                    <c:v>04-Jan-10</c:v>
                  </c:pt>
                  <c:pt idx="9">
                    <c:v>11-Jan-10</c:v>
                  </c:pt>
                  <c:pt idx="10">
                    <c:v>25-Jan-10</c:v>
                  </c:pt>
                </c:lvl>
                <c:lvl>
                  <c:pt idx="0">
                    <c:v>Main task 1</c:v>
                  </c:pt>
                  <c:pt idx="1">
                    <c:v>Sub-task 1</c:v>
                  </c:pt>
                  <c:pt idx="2">
                    <c:v>Sub-task 2</c:v>
                  </c:pt>
                  <c:pt idx="3">
                    <c:v>Sub-task 3</c:v>
                  </c:pt>
                  <c:pt idx="4">
                    <c:v>Sub-task 4</c:v>
                  </c:pt>
                  <c:pt idx="5">
                    <c:v>Sub-task 5</c:v>
                  </c:pt>
                  <c:pt idx="6">
                    <c:v>Sub-task 6</c:v>
                  </c:pt>
                  <c:pt idx="7">
                    <c:v>Main task 2</c:v>
                  </c:pt>
                  <c:pt idx="8">
                    <c:v>Sub-task 1</c:v>
                  </c:pt>
                  <c:pt idx="9">
                    <c:v>Sub-task 2</c:v>
                  </c:pt>
                  <c:pt idx="10">
                    <c:v>Sub-task 3</c:v>
                  </c:pt>
                </c:lvl>
              </c:multiLvlStrCache>
            </c:multiLvlStrRef>
          </c:cat>
          <c:val>
            <c:numRef>
              <c:f>Charts5!$E$7:$E$17</c:f>
              <c:numCache>
                <c:formatCode>0</c:formatCode>
                <c:ptCount val="11"/>
                <c:pt idx="0">
                  <c:v>159</c:v>
                </c:pt>
                <c:pt idx="1">
                  <c:v>114</c:v>
                </c:pt>
                <c:pt idx="2">
                  <c:v>88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25</c:v>
                </c:pt>
                <c:pt idx="7">
                  <c:v>51</c:v>
                </c:pt>
                <c:pt idx="8">
                  <c:v>7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</c:ser>
        <c:overlap val="100"/>
        <c:axId val="120816768"/>
        <c:axId val="120627200"/>
      </c:barChart>
      <c:catAx>
        <c:axId val="120816768"/>
        <c:scaling>
          <c:orientation val="minMax"/>
        </c:scaling>
        <c:delete val="1"/>
        <c:axPos val="l"/>
        <c:majorGridlines/>
        <c:tickLblPos val="nextTo"/>
        <c:crossAx val="120627200"/>
        <c:crosses val="autoZero"/>
        <c:auto val="1"/>
        <c:lblAlgn val="ctr"/>
        <c:lblOffset val="100"/>
      </c:catAx>
      <c:valAx>
        <c:axId val="120627200"/>
        <c:scaling>
          <c:orientation val="minMax"/>
        </c:scaling>
        <c:axPos val="b"/>
        <c:majorGridlines/>
        <c:numFmt formatCode="0" sourceLinked="1"/>
        <c:tickLblPos val="nextTo"/>
        <c:crossAx val="120816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114814</xdr:colOff>
      <xdr:row>1</xdr:row>
      <xdr:rowOff>99411</xdr:rowOff>
    </xdr:from>
    <xdr:ext cx="4671060" cy="1809750"/>
    <xdr:pic>
      <xdr:nvPicPr>
        <xdr:cNvPr id="2" name="image2.png">
          <a:extLst>
            <a:ext uri="{FF2B5EF4-FFF2-40B4-BE49-F238E27FC236}">
              <a16:creationId xmlns="" xmlns:a16="http://schemas.microsoft.com/office/drawing/2014/main" id="{3CADAE50-915F-4D93-B34B-FCECDC523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9355" y="278705"/>
          <a:ext cx="467106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340658</xdr:colOff>
      <xdr:row>14</xdr:row>
      <xdr:rowOff>80681</xdr:rowOff>
    </xdr:from>
    <xdr:to>
      <xdr:col>15</xdr:col>
      <xdr:colOff>816428</xdr:colOff>
      <xdr:row>40</xdr:row>
      <xdr:rowOff>108858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296364</xdr:colOff>
      <xdr:row>6</xdr:row>
      <xdr:rowOff>73206</xdr:rowOff>
    </xdr:from>
    <xdr:ext cx="3905250" cy="215836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8349527E-C7BC-44FA-A931-37E1C5AE2F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7764" y="1118235"/>
          <a:ext cx="3905250" cy="2158365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522514</xdr:colOff>
      <xdr:row>26</xdr:row>
      <xdr:rowOff>10886</xdr:rowOff>
    </xdr:from>
    <xdr:to>
      <xdr:col>13</xdr:col>
      <xdr:colOff>304800</xdr:colOff>
      <xdr:row>41</xdr:row>
      <xdr:rowOff>141514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445770</xdr:colOff>
      <xdr:row>0</xdr:row>
      <xdr:rowOff>133350</xdr:rowOff>
    </xdr:from>
    <xdr:ext cx="4042410" cy="1954530"/>
    <xdr:pic>
      <xdr:nvPicPr>
        <xdr:cNvPr id="2" name="image3.png">
          <a:extLst>
            <a:ext uri="{FF2B5EF4-FFF2-40B4-BE49-F238E27FC236}">
              <a16:creationId xmlns="" xmlns:a16="http://schemas.microsoft.com/office/drawing/2014/main" id="{6CBD896E-FD85-484D-813C-958C88B371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1950" y="133350"/>
          <a:ext cx="4042410" cy="195453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108857</xdr:colOff>
      <xdr:row>19</xdr:row>
      <xdr:rowOff>21771</xdr:rowOff>
    </xdr:from>
    <xdr:to>
      <xdr:col>14</xdr:col>
      <xdr:colOff>-1</xdr:colOff>
      <xdr:row>37</xdr:row>
      <xdr:rowOff>32657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13</xdr:row>
      <xdr:rowOff>87630</xdr:rowOff>
    </xdr:from>
    <xdr:to>
      <xdr:col>12</xdr:col>
      <xdr:colOff>396240</xdr:colOff>
      <xdr:row>26</xdr:row>
      <xdr:rowOff>60960</xdr:rowOff>
    </xdr:to>
    <xdr:sp macro="" textlink="">
      <xdr:nvSpPr>
        <xdr:cNvPr id="2" name="Rectangle 1"/>
        <xdr:cNvSpPr>
          <a:spLocks noTextEdit="1"/>
        </xdr:cNvSpPr>
      </xdr:nvSpPr>
      <xdr:spPr>
        <a:xfrm>
          <a:off x="4554855" y="2564130"/>
          <a:ext cx="4690110" cy="244983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Excel.Editing this shape or saving this workbook into a different file format will permanently break the chart.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302110</xdr:colOff>
      <xdr:row>3</xdr:row>
      <xdr:rowOff>10086</xdr:rowOff>
    </xdr:from>
    <xdr:to>
      <xdr:col>13</xdr:col>
      <xdr:colOff>256390</xdr:colOff>
      <xdr:row>14</xdr:row>
      <xdr:rowOff>97715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B725497B-1854-4AC3-964D-0265DD0A2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439270</xdr:colOff>
      <xdr:row>17</xdr:row>
      <xdr:rowOff>152400</xdr:rowOff>
    </xdr:from>
    <xdr:to>
      <xdr:col>13</xdr:col>
      <xdr:colOff>134470</xdr:colOff>
      <xdr:row>33</xdr:row>
      <xdr:rowOff>26894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R%20-%20DA\Advanced%20Excel\Assignments\Assignment\Assignment%2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Charts2"/>
      <sheetName val="Scatter"/>
      <sheetName val="Waterfall"/>
      <sheetName val="Gantt chart"/>
    </sheetNames>
    <sheetDataSet>
      <sheetData sheetId="0"/>
      <sheetData sheetId="1"/>
      <sheetData sheetId="2"/>
      <sheetData sheetId="3">
        <row r="5">
          <cell r="D5" t="str">
            <v>Net Cash Flow</v>
          </cell>
        </row>
        <row r="6">
          <cell r="C6" t="str">
            <v>Start Balance</v>
          </cell>
          <cell r="D6">
            <v>100000</v>
          </cell>
        </row>
        <row r="7">
          <cell r="C7" t="str">
            <v>JAN FY2022</v>
          </cell>
          <cell r="D7">
            <v>-25000</v>
          </cell>
        </row>
        <row r="8">
          <cell r="C8" t="str">
            <v>FEB FY2022</v>
          </cell>
          <cell r="D8">
            <v>10000</v>
          </cell>
        </row>
        <row r="9">
          <cell r="C9" t="str">
            <v>MAR FY2022</v>
          </cell>
          <cell r="D9">
            <v>14000</v>
          </cell>
        </row>
        <row r="10">
          <cell r="C10" t="str">
            <v>APR FY2022</v>
          </cell>
          <cell r="D10">
            <v>-15000</v>
          </cell>
        </row>
        <row r="11">
          <cell r="C11" t="str">
            <v>MAY FY2022</v>
          </cell>
          <cell r="D11">
            <v>-5000</v>
          </cell>
        </row>
        <row r="12">
          <cell r="C12" t="str">
            <v>JUN FY2022</v>
          </cell>
          <cell r="D12">
            <v>7000</v>
          </cell>
        </row>
        <row r="13">
          <cell r="C13" t="str">
            <v>JUL FY2022</v>
          </cell>
          <cell r="D13">
            <v>8500</v>
          </cell>
        </row>
        <row r="14">
          <cell r="C14" t="str">
            <v>AUG FY2022</v>
          </cell>
          <cell r="D14">
            <v>-10000</v>
          </cell>
        </row>
        <row r="15">
          <cell r="C15" t="str">
            <v>SEP FY2022</v>
          </cell>
          <cell r="D15">
            <v>-16000</v>
          </cell>
        </row>
        <row r="16">
          <cell r="C16" t="str">
            <v>OCT FY2022</v>
          </cell>
          <cell r="D16">
            <v>10000</v>
          </cell>
        </row>
        <row r="17">
          <cell r="C17" t="str">
            <v>Current Balance</v>
          </cell>
          <cell r="D17">
            <v>78500</v>
          </cell>
        </row>
      </sheetData>
      <sheetData sheetId="4">
        <row r="6">
          <cell r="D6" t="str">
            <v>Start Date</v>
          </cell>
          <cell r="F6" t="str">
            <v>Work Days Planned</v>
          </cell>
        </row>
        <row r="7">
          <cell r="C7" t="str">
            <v>Main task 1</v>
          </cell>
          <cell r="D7">
            <v>40081</v>
          </cell>
          <cell r="F7">
            <v>159</v>
          </cell>
        </row>
        <row r="8">
          <cell r="C8" t="str">
            <v>Sub-task 1</v>
          </cell>
          <cell r="D8">
            <v>40081</v>
          </cell>
          <cell r="F8">
            <v>114</v>
          </cell>
        </row>
        <row r="9">
          <cell r="C9" t="str">
            <v>Sub-task 2</v>
          </cell>
          <cell r="D9">
            <v>40119</v>
          </cell>
          <cell r="F9">
            <v>88</v>
          </cell>
        </row>
        <row r="10">
          <cell r="C10" t="str">
            <v>Sub-task 3</v>
          </cell>
          <cell r="D10">
            <v>40148</v>
          </cell>
          <cell r="F10">
            <v>20</v>
          </cell>
        </row>
        <row r="11">
          <cell r="C11" t="str">
            <v>Sub-task 4</v>
          </cell>
          <cell r="D11">
            <v>40148</v>
          </cell>
          <cell r="F11">
            <v>45</v>
          </cell>
        </row>
        <row r="12">
          <cell r="C12" t="str">
            <v>Sub-task 5</v>
          </cell>
          <cell r="D12">
            <v>40168</v>
          </cell>
          <cell r="F12">
            <v>25</v>
          </cell>
        </row>
        <row r="13">
          <cell r="C13" t="str">
            <v>Sub-task 6</v>
          </cell>
          <cell r="D13">
            <v>40182</v>
          </cell>
          <cell r="F13">
            <v>25</v>
          </cell>
        </row>
        <row r="14">
          <cell r="C14" t="str">
            <v>Main task 2</v>
          </cell>
          <cell r="D14">
            <v>40182</v>
          </cell>
          <cell r="F14">
            <v>51</v>
          </cell>
        </row>
        <row r="15">
          <cell r="C15" t="str">
            <v>Sub-task 1</v>
          </cell>
          <cell r="D15">
            <v>40182</v>
          </cell>
          <cell r="F15">
            <v>7</v>
          </cell>
        </row>
        <row r="16">
          <cell r="C16" t="str">
            <v>Sub-task 2</v>
          </cell>
          <cell r="D16">
            <v>40189</v>
          </cell>
          <cell r="F16">
            <v>15</v>
          </cell>
        </row>
        <row r="17">
          <cell r="C17" t="str">
            <v>Sub-task 3</v>
          </cell>
          <cell r="D17">
            <v>40203</v>
          </cell>
          <cell r="F17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000"/>
  <sheetViews>
    <sheetView tabSelected="1" topLeftCell="D1" zoomScale="70" zoomScaleNormal="70" workbookViewId="0">
      <selection activeCell="Q20" sqref="Q20"/>
    </sheetView>
  </sheetViews>
  <sheetFormatPr defaultColWidth="14.44140625" defaultRowHeight="15" customHeight="1"/>
  <cols>
    <col min="1" max="2" width="8.6640625" customWidth="1"/>
    <col min="3" max="3" width="11.6640625" customWidth="1"/>
    <col min="4" max="15" width="8.6640625" customWidth="1"/>
    <col min="16" max="16" width="12" bestFit="1" customWidth="1"/>
    <col min="17" max="22" width="8.6640625" customWidth="1"/>
  </cols>
  <sheetData>
    <row r="1" spans="2:16" ht="14.25" customHeight="1"/>
    <row r="2" spans="2:16" ht="14.25" customHeight="1">
      <c r="B2" s="36" t="s">
        <v>0</v>
      </c>
      <c r="C2" s="36"/>
      <c r="D2" s="36"/>
      <c r="E2" s="36"/>
      <c r="F2" s="34"/>
    </row>
    <row r="3" spans="2:16" ht="14.25" customHeight="1">
      <c r="B3" s="36" t="s">
        <v>1</v>
      </c>
      <c r="C3" s="36"/>
      <c r="D3" s="36"/>
      <c r="E3" s="36"/>
      <c r="F3" s="34"/>
      <c r="P3" s="1" t="s">
        <v>2</v>
      </c>
    </row>
    <row r="4" spans="2:16" ht="14.25" customHeight="1"/>
    <row r="5" spans="2:16" ht="14.25" customHeight="1">
      <c r="B5" s="2" t="s">
        <v>3</v>
      </c>
      <c r="C5" s="2" t="s">
        <v>4</v>
      </c>
    </row>
    <row r="6" spans="2:16" ht="14.25" customHeight="1">
      <c r="B6" s="3">
        <v>1990</v>
      </c>
      <c r="C6" s="4">
        <v>2156</v>
      </c>
    </row>
    <row r="7" spans="2:16" ht="14.25" customHeight="1">
      <c r="B7" s="3">
        <v>1991</v>
      </c>
      <c r="C7" s="4">
        <v>3562</v>
      </c>
    </row>
    <row r="8" spans="2:16" ht="14.25" customHeight="1">
      <c r="B8" s="3">
        <v>1992</v>
      </c>
      <c r="C8" s="4">
        <v>7506</v>
      </c>
    </row>
    <row r="9" spans="2:16" ht="14.25" customHeight="1">
      <c r="B9" s="3">
        <v>1993</v>
      </c>
      <c r="C9" s="4">
        <v>6258</v>
      </c>
    </row>
    <row r="10" spans="2:16" ht="14.25" customHeight="1">
      <c r="B10" s="3">
        <v>1994</v>
      </c>
      <c r="C10" s="4">
        <v>6279</v>
      </c>
    </row>
    <row r="11" spans="2:16" ht="14.25" customHeight="1">
      <c r="B11" s="3">
        <v>1995</v>
      </c>
      <c r="C11" s="4">
        <v>1963</v>
      </c>
    </row>
    <row r="12" spans="2:16" ht="14.25" customHeight="1">
      <c r="B12" s="3">
        <v>1996</v>
      </c>
      <c r="C12" s="4">
        <v>6736</v>
      </c>
    </row>
    <row r="13" spans="2:16" ht="14.25" customHeight="1">
      <c r="B13" s="3">
        <v>1997</v>
      </c>
      <c r="C13" s="4">
        <v>3280</v>
      </c>
    </row>
    <row r="14" spans="2:16" ht="14.25" customHeight="1">
      <c r="B14" s="3">
        <v>1998</v>
      </c>
      <c r="C14" s="4">
        <v>8398</v>
      </c>
    </row>
    <row r="15" spans="2:16" ht="14.25" customHeight="1">
      <c r="B15" s="3">
        <v>1999</v>
      </c>
      <c r="C15" s="4">
        <v>2882</v>
      </c>
    </row>
    <row r="16" spans="2:16" ht="14.25" customHeight="1">
      <c r="B16" s="3">
        <v>2000</v>
      </c>
      <c r="C16" s="4">
        <v>4686</v>
      </c>
      <c r="P16" s="1"/>
    </row>
    <row r="17" spans="2:17" ht="14.25" customHeight="1">
      <c r="B17" s="3">
        <v>2001</v>
      </c>
      <c r="C17" s="4">
        <v>6976</v>
      </c>
    </row>
    <row r="18" spans="2:17" ht="14.25" customHeight="1">
      <c r="B18" s="3">
        <v>2002</v>
      </c>
      <c r="C18" s="4">
        <v>2173</v>
      </c>
    </row>
    <row r="19" spans="2:17" ht="14.25" customHeight="1">
      <c r="B19" s="3">
        <v>2003</v>
      </c>
      <c r="C19" s="4">
        <v>2166</v>
      </c>
      <c r="Q19" t="s">
        <v>44</v>
      </c>
    </row>
    <row r="20" spans="2:17" ht="14.25" customHeight="1">
      <c r="B20" s="5">
        <v>2004</v>
      </c>
      <c r="C20" s="6">
        <v>8418</v>
      </c>
    </row>
    <row r="21" spans="2:17" ht="14.25" customHeight="1"/>
    <row r="22" spans="2:17" ht="14.25" customHeight="1"/>
    <row r="23" spans="2:17" ht="14.25" customHeight="1"/>
    <row r="24" spans="2:17" ht="14.25" customHeight="1"/>
    <row r="25" spans="2:17" ht="14.25" customHeight="1"/>
    <row r="26" spans="2:17" ht="14.25" customHeight="1"/>
    <row r="27" spans="2:17" ht="14.25" customHeight="1"/>
    <row r="28" spans="2:17" ht="14.25" customHeight="1"/>
    <row r="29" spans="2:17" ht="14.25" customHeight="1"/>
    <row r="30" spans="2:17" ht="14.25" customHeight="1"/>
    <row r="31" spans="2:17" ht="14.25" customHeight="1"/>
    <row r="32" spans="2:1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P1000"/>
  <sheetViews>
    <sheetView topLeftCell="A16" zoomScale="70" zoomScaleNormal="70" workbookViewId="0">
      <selection activeCell="E6" sqref="E6:E23"/>
    </sheetView>
  </sheetViews>
  <sheetFormatPr defaultColWidth="14.44140625" defaultRowHeight="15" customHeight="1"/>
  <cols>
    <col min="1" max="1" width="8.6640625" customWidth="1"/>
    <col min="2" max="2" width="10.33203125" bestFit="1" customWidth="1"/>
    <col min="3" max="3" width="11.6640625" customWidth="1"/>
    <col min="4" max="4" width="12.6640625" bestFit="1" customWidth="1"/>
    <col min="5" max="15" width="8.6640625" customWidth="1"/>
    <col min="16" max="16" width="12.33203125" bestFit="1" customWidth="1"/>
    <col min="17" max="26" width="8.6640625" customWidth="1"/>
  </cols>
  <sheetData>
    <row r="1" spans="2:16" ht="14.25" customHeight="1"/>
    <row r="2" spans="2:16" ht="14.25" customHeight="1">
      <c r="B2" s="36" t="s">
        <v>5</v>
      </c>
      <c r="C2" s="36"/>
      <c r="D2" s="36"/>
      <c r="E2" s="36"/>
    </row>
    <row r="3" spans="2:16" ht="14.25" customHeight="1">
      <c r="B3" s="36" t="s">
        <v>1</v>
      </c>
      <c r="C3" s="36"/>
      <c r="D3" s="36"/>
      <c r="E3" s="36"/>
      <c r="P3" s="1" t="s">
        <v>2</v>
      </c>
    </row>
    <row r="4" spans="2:16" ht="14.25" customHeight="1"/>
    <row r="5" spans="2:16" ht="14.25" customHeight="1">
      <c r="B5" s="7" t="s">
        <v>3</v>
      </c>
      <c r="C5" s="7" t="s">
        <v>4</v>
      </c>
      <c r="D5" s="7" t="s">
        <v>6</v>
      </c>
      <c r="E5" s="8" t="s">
        <v>7</v>
      </c>
    </row>
    <row r="6" spans="2:16" ht="14.25" customHeight="1">
      <c r="B6" s="9">
        <v>38353</v>
      </c>
      <c r="C6" s="10">
        <v>528</v>
      </c>
      <c r="D6" s="11"/>
      <c r="E6" s="12"/>
    </row>
    <row r="7" spans="2:16" ht="14.25" customHeight="1">
      <c r="B7" s="9">
        <v>38718</v>
      </c>
      <c r="C7" s="10">
        <v>4550</v>
      </c>
      <c r="D7" s="13">
        <f>SUM($C$6:C7)</f>
        <v>5078</v>
      </c>
      <c r="E7" s="11">
        <f t="shared" ref="E7:E23" si="0">D7/$D$23</f>
        <v>6.5615712624370076E-2</v>
      </c>
    </row>
    <row r="8" spans="2:16" ht="14.25" customHeight="1">
      <c r="B8" s="9">
        <v>39083</v>
      </c>
      <c r="C8" s="10">
        <v>8189</v>
      </c>
      <c r="D8" s="13">
        <f>SUM($C$6:C8)</f>
        <v>13267</v>
      </c>
      <c r="E8" s="11">
        <f t="shared" si="0"/>
        <v>0.17143041736658482</v>
      </c>
    </row>
    <row r="9" spans="2:16" ht="14.25" customHeight="1">
      <c r="B9" s="9">
        <v>39448</v>
      </c>
      <c r="C9" s="10">
        <v>1730</v>
      </c>
      <c r="D9" s="13">
        <f>SUM($C$6:C9)</f>
        <v>14997</v>
      </c>
      <c r="E9" s="11">
        <f t="shared" si="0"/>
        <v>0.19378472670887711</v>
      </c>
    </row>
    <row r="10" spans="2:16" ht="14.25" customHeight="1">
      <c r="B10" s="9">
        <v>39814</v>
      </c>
      <c r="C10" s="10">
        <v>5262</v>
      </c>
      <c r="D10" s="13">
        <f>SUM($C$6:C10)</f>
        <v>20259</v>
      </c>
      <c r="E10" s="11">
        <f t="shared" si="0"/>
        <v>0.26177800749450836</v>
      </c>
    </row>
    <row r="11" spans="2:16" ht="14.25" customHeight="1">
      <c r="B11" s="9">
        <v>40179</v>
      </c>
      <c r="C11" s="10">
        <v>2172</v>
      </c>
      <c r="D11" s="13">
        <f>SUM($C$6:C11)</f>
        <v>22431</v>
      </c>
      <c r="E11" s="11">
        <f t="shared" si="0"/>
        <v>0.28984364905026488</v>
      </c>
    </row>
    <row r="12" spans="2:16" ht="14.25" customHeight="1">
      <c r="B12" s="9">
        <v>40544</v>
      </c>
      <c r="C12" s="10">
        <v>4384</v>
      </c>
      <c r="D12" s="13">
        <f>SUM($C$6:C12)</f>
        <v>26815</v>
      </c>
      <c r="E12" s="11">
        <f t="shared" si="0"/>
        <v>0.34649179480553044</v>
      </c>
    </row>
    <row r="13" spans="2:16" ht="14.25" customHeight="1">
      <c r="B13" s="9">
        <v>40909</v>
      </c>
      <c r="C13" s="10">
        <v>8709</v>
      </c>
      <c r="D13" s="13">
        <f>SUM($C$6:C13)</f>
        <v>35524</v>
      </c>
      <c r="E13" s="11">
        <f t="shared" si="0"/>
        <v>0.45902571391652669</v>
      </c>
    </row>
    <row r="14" spans="2:16" ht="14.25" customHeight="1">
      <c r="B14" s="9">
        <v>41275</v>
      </c>
      <c r="C14" s="10">
        <v>3618</v>
      </c>
      <c r="D14" s="13">
        <f>SUM($C$6:C14)</f>
        <v>39142</v>
      </c>
      <c r="E14" s="11">
        <f t="shared" si="0"/>
        <v>0.50577594004393334</v>
      </c>
    </row>
    <row r="15" spans="2:16" ht="14.25" customHeight="1">
      <c r="B15" s="9">
        <v>41640</v>
      </c>
      <c r="C15" s="10">
        <v>6372</v>
      </c>
      <c r="D15" s="13">
        <f>SUM($C$6:C15)</f>
        <v>45514</v>
      </c>
      <c r="E15" s="11">
        <f t="shared" si="0"/>
        <v>0.58811215919369431</v>
      </c>
      <c r="P15" s="1"/>
    </row>
    <row r="16" spans="2:16" ht="14.25" customHeight="1">
      <c r="B16" s="9">
        <v>42005</v>
      </c>
      <c r="C16" s="10">
        <v>3456</v>
      </c>
      <c r="D16" s="13">
        <f>SUM($C$6:C16)</f>
        <v>48970</v>
      </c>
      <c r="E16" s="11">
        <f t="shared" si="0"/>
        <v>0.6327690916139036</v>
      </c>
    </row>
    <row r="17" spans="2:5" ht="14.25" customHeight="1">
      <c r="B17" s="9">
        <v>42370</v>
      </c>
      <c r="C17" s="10">
        <v>7478</v>
      </c>
      <c r="D17" s="13">
        <f>SUM($C$6:C17)</f>
        <v>56448</v>
      </c>
      <c r="E17" s="11">
        <f t="shared" si="0"/>
        <v>0.72939656286341903</v>
      </c>
    </row>
    <row r="18" spans="2:5" ht="14.25" customHeight="1">
      <c r="B18" s="9">
        <v>42736</v>
      </c>
      <c r="C18" s="10">
        <v>4649</v>
      </c>
      <c r="D18" s="13">
        <f>SUM($C$6:C18)</f>
        <v>61097</v>
      </c>
      <c r="E18" s="11">
        <f t="shared" si="0"/>
        <v>0.78946892363354437</v>
      </c>
    </row>
    <row r="19" spans="2:5" ht="14.25" customHeight="1">
      <c r="B19" s="9">
        <v>43101</v>
      </c>
      <c r="C19" s="10">
        <v>5831</v>
      </c>
      <c r="D19" s="13">
        <f>SUM($C$6:C19)</f>
        <v>66928</v>
      </c>
      <c r="E19" s="11">
        <f t="shared" si="0"/>
        <v>0.86481457552655383</v>
      </c>
    </row>
    <row r="20" spans="2:5" ht="14.25" customHeight="1">
      <c r="B20" s="9">
        <v>43466</v>
      </c>
      <c r="C20" s="10">
        <v>1599</v>
      </c>
      <c r="D20" s="13">
        <f>SUM($C$6:C20)</f>
        <v>68527</v>
      </c>
      <c r="E20" s="11">
        <f t="shared" si="0"/>
        <v>0.88547615971055693</v>
      </c>
    </row>
    <row r="21" spans="2:5" ht="14.25" customHeight="1">
      <c r="B21" s="9">
        <v>43831</v>
      </c>
      <c r="C21" s="10">
        <v>3695</v>
      </c>
      <c r="D21" s="13">
        <f>SUM($C$6:C21)</f>
        <v>72222</v>
      </c>
      <c r="E21" s="11">
        <f t="shared" si="0"/>
        <v>0.93322134642718702</v>
      </c>
    </row>
    <row r="22" spans="2:5" ht="14.25" customHeight="1">
      <c r="B22" s="9">
        <v>44197</v>
      </c>
      <c r="C22" s="10">
        <v>1678</v>
      </c>
      <c r="D22" s="13">
        <f>SUM($C$6:C22)</f>
        <v>73900</v>
      </c>
      <c r="E22" s="11">
        <f t="shared" si="0"/>
        <v>0.95490373433260112</v>
      </c>
    </row>
    <row r="23" spans="2:5" ht="14.25" customHeight="1">
      <c r="B23" s="9">
        <v>44562</v>
      </c>
      <c r="C23" s="10">
        <v>3490</v>
      </c>
      <c r="D23" s="13">
        <f>SUM($C$6:C23)</f>
        <v>77390</v>
      </c>
      <c r="E23" s="11">
        <f t="shared" si="0"/>
        <v>1</v>
      </c>
    </row>
    <row r="24" spans="2:5" ht="14.25" customHeight="1"/>
    <row r="25" spans="2:5" ht="14.25" customHeight="1">
      <c r="B25" s="14" t="s">
        <v>8</v>
      </c>
      <c r="C25" s="10">
        <f>SUM(C6:C23)</f>
        <v>77390</v>
      </c>
    </row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3:E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000"/>
  <sheetViews>
    <sheetView topLeftCell="A2" zoomScale="70" zoomScaleNormal="70" workbookViewId="0">
      <selection activeCell="M18" activeCellId="1" sqref="B6:C37 M18"/>
    </sheetView>
  </sheetViews>
  <sheetFormatPr defaultColWidth="14.44140625" defaultRowHeight="15" customHeight="1"/>
  <cols>
    <col min="1" max="1" width="8.6640625" customWidth="1"/>
    <col min="2" max="2" width="11" customWidth="1"/>
    <col min="3" max="4" width="8.6640625" customWidth="1"/>
    <col min="5" max="6" width="9.6640625" customWidth="1"/>
    <col min="7" max="14" width="8.6640625" customWidth="1"/>
    <col min="15" max="15" width="12.33203125" bestFit="1" customWidth="1"/>
    <col min="16" max="25" width="8.6640625" customWidth="1"/>
  </cols>
  <sheetData>
    <row r="1" spans="2:15" ht="14.25" customHeight="1"/>
    <row r="2" spans="2:15" ht="14.25" customHeight="1">
      <c r="B2" s="36" t="s">
        <v>9</v>
      </c>
      <c r="C2" s="36"/>
      <c r="D2" s="36"/>
      <c r="E2" s="36"/>
      <c r="F2" s="34"/>
    </row>
    <row r="3" spans="2:15" ht="14.25" customHeight="1">
      <c r="B3" s="36" t="s">
        <v>1</v>
      </c>
      <c r="C3" s="36"/>
      <c r="D3" s="36"/>
      <c r="E3" s="36"/>
      <c r="F3" s="34"/>
    </row>
    <row r="4" spans="2:15" ht="14.25" customHeight="1">
      <c r="B4" s="15" t="s">
        <v>10</v>
      </c>
      <c r="C4" s="16" t="s">
        <v>11</v>
      </c>
      <c r="O4" s="1" t="s">
        <v>2</v>
      </c>
    </row>
    <row r="5" spans="2:15" ht="14.25" customHeight="1">
      <c r="B5" s="17" t="s">
        <v>12</v>
      </c>
      <c r="C5" s="17" t="s">
        <v>13</v>
      </c>
      <c r="D5" s="16" t="s">
        <v>14</v>
      </c>
      <c r="E5" s="16" t="s">
        <v>15</v>
      </c>
      <c r="F5" s="16"/>
    </row>
    <row r="6" spans="2:15" ht="14.25" customHeight="1">
      <c r="B6" s="18">
        <v>130</v>
      </c>
      <c r="C6" s="18">
        <v>3504</v>
      </c>
    </row>
    <row r="7" spans="2:15" ht="14.25" customHeight="1">
      <c r="B7" s="19">
        <v>165</v>
      </c>
      <c r="C7" s="19">
        <v>3693</v>
      </c>
    </row>
    <row r="8" spans="2:15" ht="14.25" customHeight="1">
      <c r="B8" s="18">
        <v>150</v>
      </c>
      <c r="C8" s="18">
        <v>3436</v>
      </c>
    </row>
    <row r="9" spans="2:15" ht="14.25" customHeight="1">
      <c r="B9" s="19">
        <v>150</v>
      </c>
      <c r="C9" s="19">
        <v>3433</v>
      </c>
    </row>
    <row r="10" spans="2:15" ht="14.25" customHeight="1">
      <c r="B10" s="18">
        <v>140</v>
      </c>
      <c r="C10" s="18">
        <v>3449</v>
      </c>
    </row>
    <row r="11" spans="2:15" ht="14.25" customHeight="1">
      <c r="B11" s="19">
        <v>198</v>
      </c>
      <c r="C11" s="19">
        <v>4341</v>
      </c>
    </row>
    <row r="12" spans="2:15" ht="14.25" customHeight="1">
      <c r="B12" s="18">
        <v>220</v>
      </c>
      <c r="C12" s="18">
        <v>4354</v>
      </c>
    </row>
    <row r="13" spans="2:15" ht="14.25" customHeight="1">
      <c r="B13" s="19">
        <v>215</v>
      </c>
      <c r="C13" s="19">
        <v>4312</v>
      </c>
    </row>
    <row r="14" spans="2:15" ht="14.25" customHeight="1">
      <c r="B14" s="18">
        <v>225</v>
      </c>
      <c r="C14" s="18">
        <v>4425</v>
      </c>
    </row>
    <row r="15" spans="2:15" ht="14.25" customHeight="1">
      <c r="B15" s="19">
        <v>190</v>
      </c>
      <c r="C15" s="19">
        <v>3850</v>
      </c>
    </row>
    <row r="16" spans="2:15" ht="14.25" customHeight="1">
      <c r="B16" s="18">
        <v>170</v>
      </c>
      <c r="C16" s="18">
        <v>3563</v>
      </c>
      <c r="O16" s="1"/>
    </row>
    <row r="17" spans="2:3" ht="14.25" customHeight="1">
      <c r="B17" s="19">
        <v>160</v>
      </c>
      <c r="C17" s="19">
        <v>3609</v>
      </c>
    </row>
    <row r="18" spans="2:3" ht="14.25" customHeight="1">
      <c r="B18" s="18">
        <v>150</v>
      </c>
      <c r="C18" s="18">
        <v>3761</v>
      </c>
    </row>
    <row r="19" spans="2:3" ht="14.25" customHeight="1">
      <c r="B19" s="19">
        <v>225</v>
      </c>
      <c r="C19" s="19">
        <v>3086</v>
      </c>
    </row>
    <row r="20" spans="2:3" ht="14.25" customHeight="1">
      <c r="B20" s="18">
        <v>95</v>
      </c>
      <c r="C20" s="18">
        <v>2372</v>
      </c>
    </row>
    <row r="21" spans="2:3" ht="14.25" customHeight="1">
      <c r="B21" s="19">
        <v>95</v>
      </c>
      <c r="C21" s="19">
        <v>2833</v>
      </c>
    </row>
    <row r="22" spans="2:3" ht="14.25" customHeight="1">
      <c r="B22" s="18">
        <v>97</v>
      </c>
      <c r="C22" s="18">
        <v>2774</v>
      </c>
    </row>
    <row r="23" spans="2:3" ht="14.25" customHeight="1">
      <c r="B23" s="19">
        <v>85</v>
      </c>
      <c r="C23" s="19">
        <v>2587</v>
      </c>
    </row>
    <row r="24" spans="2:3" ht="14.25" customHeight="1">
      <c r="B24" s="18">
        <v>88</v>
      </c>
      <c r="C24" s="18">
        <v>2130</v>
      </c>
    </row>
    <row r="25" spans="2:3" ht="14.25" customHeight="1">
      <c r="B25" s="19">
        <v>46</v>
      </c>
      <c r="C25" s="19">
        <v>1835</v>
      </c>
    </row>
    <row r="26" spans="2:3" ht="14.25" customHeight="1">
      <c r="B26" s="18">
        <v>87</v>
      </c>
      <c r="C26" s="18">
        <v>2672</v>
      </c>
    </row>
    <row r="27" spans="2:3" ht="14.25" customHeight="1">
      <c r="B27" s="19">
        <v>90</v>
      </c>
      <c r="C27" s="19">
        <v>2430</v>
      </c>
    </row>
    <row r="28" spans="2:3" ht="14.25" customHeight="1">
      <c r="B28" s="18">
        <v>95</v>
      </c>
      <c r="C28" s="18">
        <v>2375</v>
      </c>
    </row>
    <row r="29" spans="2:3" ht="14.25" customHeight="1">
      <c r="B29" s="19">
        <v>113</v>
      </c>
      <c r="C29" s="19">
        <v>2234</v>
      </c>
    </row>
    <row r="30" spans="2:3" ht="14.25" customHeight="1">
      <c r="B30" s="18">
        <v>90</v>
      </c>
      <c r="C30" s="18">
        <v>2648</v>
      </c>
    </row>
    <row r="31" spans="2:3" ht="14.25" customHeight="1">
      <c r="B31" s="19">
        <v>215</v>
      </c>
      <c r="C31" s="19">
        <v>4615</v>
      </c>
    </row>
    <row r="32" spans="2:3" ht="14.25" customHeight="1">
      <c r="B32" s="18">
        <v>200</v>
      </c>
      <c r="C32" s="18">
        <v>4376</v>
      </c>
    </row>
    <row r="33" spans="2:3" ht="14.25" customHeight="1">
      <c r="B33" s="19">
        <v>210</v>
      </c>
      <c r="C33" s="19">
        <v>4382</v>
      </c>
    </row>
    <row r="34" spans="2:3" ht="14.25" customHeight="1">
      <c r="B34" s="18">
        <v>193</v>
      </c>
      <c r="C34" s="18">
        <v>4732</v>
      </c>
    </row>
    <row r="35" spans="2:3" ht="14.25" customHeight="1">
      <c r="B35" s="19">
        <v>88</v>
      </c>
      <c r="C35" s="19">
        <v>2130</v>
      </c>
    </row>
    <row r="36" spans="2:3" ht="14.25" customHeight="1">
      <c r="B36" s="18">
        <v>90</v>
      </c>
      <c r="C36" s="18">
        <v>2264</v>
      </c>
    </row>
    <row r="37" spans="2:3" ht="14.25" customHeight="1">
      <c r="B37" s="19">
        <v>95</v>
      </c>
      <c r="C37" s="19">
        <v>2228</v>
      </c>
    </row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E17"/>
  <sheetViews>
    <sheetView zoomScale="70" zoomScaleNormal="70" workbookViewId="0">
      <selection activeCell="B2" sqref="B2:D2"/>
    </sheetView>
  </sheetViews>
  <sheetFormatPr defaultRowHeight="14.4"/>
  <cols>
    <col min="2" max="2" width="16" bestFit="1" customWidth="1"/>
    <col min="3" max="3" width="12.6640625" bestFit="1" customWidth="1"/>
    <col min="4" max="4" width="11.33203125" customWidth="1"/>
    <col min="5" max="5" width="9.6640625" customWidth="1"/>
    <col min="6" max="6" width="9" customWidth="1"/>
    <col min="7" max="7" width="11.109375" bestFit="1" customWidth="1"/>
    <col min="8" max="8" width="14.109375" bestFit="1" customWidth="1"/>
    <col min="9" max="9" width="12.109375" customWidth="1"/>
  </cols>
  <sheetData>
    <row r="2" spans="2:5">
      <c r="B2" s="37" t="s">
        <v>16</v>
      </c>
      <c r="C2" s="37"/>
      <c r="D2" s="37"/>
      <c r="E2" s="33"/>
    </row>
    <row r="3" spans="2:5">
      <c r="B3" s="37" t="s">
        <v>1</v>
      </c>
      <c r="C3" s="37"/>
      <c r="D3" s="37"/>
      <c r="E3" s="33"/>
    </row>
    <row r="5" spans="2:5">
      <c r="B5" s="20" t="s">
        <v>17</v>
      </c>
      <c r="C5" s="20" t="s">
        <v>18</v>
      </c>
      <c r="D5" s="31"/>
      <c r="E5" s="31"/>
    </row>
    <row r="6" spans="2:5">
      <c r="B6" s="20" t="s">
        <v>19</v>
      </c>
      <c r="C6" s="21">
        <v>100000</v>
      </c>
      <c r="D6" s="32"/>
      <c r="E6" s="32"/>
    </row>
    <row r="7" spans="2:5">
      <c r="B7" s="20" t="s">
        <v>20</v>
      </c>
      <c r="C7" s="21">
        <v>-25000</v>
      </c>
      <c r="D7" s="32"/>
      <c r="E7" s="32"/>
    </row>
    <row r="8" spans="2:5">
      <c r="B8" s="20" t="s">
        <v>21</v>
      </c>
      <c r="C8" s="21">
        <v>10000</v>
      </c>
      <c r="D8" s="32"/>
      <c r="E8" s="32"/>
    </row>
    <row r="9" spans="2:5">
      <c r="B9" s="20" t="s">
        <v>22</v>
      </c>
      <c r="C9" s="21">
        <v>14000</v>
      </c>
      <c r="D9" s="32"/>
      <c r="E9" s="32"/>
    </row>
    <row r="10" spans="2:5">
      <c r="B10" s="20" t="s">
        <v>23</v>
      </c>
      <c r="C10" s="21">
        <v>-15000</v>
      </c>
      <c r="D10" s="32"/>
      <c r="E10" s="32"/>
    </row>
    <row r="11" spans="2:5">
      <c r="B11" s="20" t="s">
        <v>24</v>
      </c>
      <c r="C11" s="21">
        <v>-5000</v>
      </c>
      <c r="D11" s="32"/>
      <c r="E11" s="32"/>
    </row>
    <row r="12" spans="2:5">
      <c r="B12" s="20" t="s">
        <v>25</v>
      </c>
      <c r="C12" s="21">
        <v>7000</v>
      </c>
      <c r="D12" s="32"/>
      <c r="E12" s="32"/>
    </row>
    <row r="13" spans="2:5">
      <c r="B13" s="20" t="s">
        <v>26</v>
      </c>
      <c r="C13" s="21">
        <v>8500</v>
      </c>
      <c r="D13" s="32"/>
      <c r="E13" s="32"/>
    </row>
    <row r="14" spans="2:5">
      <c r="B14" s="20" t="s">
        <v>27</v>
      </c>
      <c r="C14" s="21">
        <v>-10000</v>
      </c>
      <c r="D14" s="32"/>
      <c r="E14" s="32"/>
    </row>
    <row r="15" spans="2:5">
      <c r="B15" s="20" t="s">
        <v>28</v>
      </c>
      <c r="C15" s="21">
        <v>-16000</v>
      </c>
      <c r="D15" s="32"/>
      <c r="E15" s="32"/>
    </row>
    <row r="16" spans="2:5">
      <c r="B16" s="20" t="s">
        <v>29</v>
      </c>
      <c r="C16" s="21">
        <v>10000</v>
      </c>
      <c r="D16" s="32"/>
      <c r="E16" s="32"/>
    </row>
    <row r="17" spans="2:5">
      <c r="B17" s="20" t="s">
        <v>30</v>
      </c>
      <c r="C17" s="21">
        <f>SUM(C6:C16)</f>
        <v>78500</v>
      </c>
      <c r="D17" s="32"/>
      <c r="E17" s="32"/>
    </row>
  </sheetData>
  <mergeCells count="2">
    <mergeCell ref="B2:D2"/>
    <mergeCell ref="B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F17"/>
  <sheetViews>
    <sheetView topLeftCell="C1" zoomScale="70" zoomScaleNormal="70" workbookViewId="0">
      <selection activeCell="B6" sqref="B6:E17"/>
    </sheetView>
  </sheetViews>
  <sheetFormatPr defaultRowHeight="14.4"/>
  <cols>
    <col min="2" max="2" width="14.33203125" bestFit="1" customWidth="1"/>
  </cols>
  <sheetData>
    <row r="3" spans="2:6">
      <c r="B3" s="37" t="s">
        <v>43</v>
      </c>
      <c r="C3" s="37"/>
      <c r="D3" s="37"/>
      <c r="E3" s="37"/>
      <c r="F3" s="33"/>
    </row>
    <row r="4" spans="2:6">
      <c r="B4" s="37" t="s">
        <v>1</v>
      </c>
      <c r="C4" s="37"/>
      <c r="D4" s="37"/>
      <c r="E4" s="37"/>
      <c r="F4" s="33"/>
    </row>
    <row r="6" spans="2:6" ht="30.6">
      <c r="B6" s="22" t="s">
        <v>31</v>
      </c>
      <c r="C6" s="23" t="s">
        <v>32</v>
      </c>
      <c r="D6" s="23" t="s">
        <v>33</v>
      </c>
      <c r="E6" s="24" t="s">
        <v>34</v>
      </c>
      <c r="F6" s="35"/>
    </row>
    <row r="7" spans="2:6">
      <c r="B7" s="25" t="s">
        <v>35</v>
      </c>
      <c r="C7" s="26">
        <v>40081</v>
      </c>
      <c r="D7" s="26">
        <v>40240</v>
      </c>
      <c r="E7" s="27">
        <f>D7-C7</f>
        <v>159</v>
      </c>
      <c r="F7" s="27"/>
    </row>
    <row r="8" spans="2:6">
      <c r="B8" s="28" t="s">
        <v>36</v>
      </c>
      <c r="C8" s="29">
        <v>40081</v>
      </c>
      <c r="D8" s="29">
        <v>40195</v>
      </c>
      <c r="E8" s="27">
        <f t="shared" ref="E8:E17" si="0">D8-C8</f>
        <v>114</v>
      </c>
      <c r="F8" s="27"/>
    </row>
    <row r="9" spans="2:6">
      <c r="B9" s="28" t="s">
        <v>37</v>
      </c>
      <c r="C9" s="29">
        <v>40119</v>
      </c>
      <c r="D9" s="29">
        <v>40207</v>
      </c>
      <c r="E9" s="27">
        <f t="shared" si="0"/>
        <v>88</v>
      </c>
      <c r="F9" s="27"/>
    </row>
    <row r="10" spans="2:6">
      <c r="B10" s="28" t="s">
        <v>38</v>
      </c>
      <c r="C10" s="29">
        <v>40148</v>
      </c>
      <c r="D10" s="29">
        <v>40168</v>
      </c>
      <c r="E10" s="27">
        <f t="shared" si="0"/>
        <v>20</v>
      </c>
      <c r="F10" s="27"/>
    </row>
    <row r="11" spans="2:6">
      <c r="B11" s="28" t="s">
        <v>39</v>
      </c>
      <c r="C11" s="29">
        <v>40148</v>
      </c>
      <c r="D11" s="29">
        <v>40193</v>
      </c>
      <c r="E11" s="27">
        <f t="shared" si="0"/>
        <v>45</v>
      </c>
      <c r="F11" s="27"/>
    </row>
    <row r="12" spans="2:6">
      <c r="B12" s="28" t="s">
        <v>40</v>
      </c>
      <c r="C12" s="29">
        <v>40168</v>
      </c>
      <c r="D12" s="29">
        <v>40193</v>
      </c>
      <c r="E12" s="27">
        <f t="shared" si="0"/>
        <v>25</v>
      </c>
      <c r="F12" s="27"/>
    </row>
    <row r="13" spans="2:6">
      <c r="B13" s="28" t="s">
        <v>41</v>
      </c>
      <c r="C13" s="29">
        <v>40182</v>
      </c>
      <c r="D13" s="29">
        <v>40207</v>
      </c>
      <c r="E13" s="27">
        <f t="shared" si="0"/>
        <v>25</v>
      </c>
      <c r="F13" s="27"/>
    </row>
    <row r="14" spans="2:6">
      <c r="B14" s="28" t="s">
        <v>42</v>
      </c>
      <c r="C14" s="29">
        <v>40182</v>
      </c>
      <c r="D14" s="29">
        <v>40233</v>
      </c>
      <c r="E14" s="27">
        <f t="shared" si="0"/>
        <v>51</v>
      </c>
      <c r="F14" s="27"/>
    </row>
    <row r="15" spans="2:6">
      <c r="B15" s="28" t="s">
        <v>36</v>
      </c>
      <c r="C15" s="29">
        <v>40182</v>
      </c>
      <c r="D15" s="29">
        <v>40189</v>
      </c>
      <c r="E15" s="27">
        <f t="shared" si="0"/>
        <v>7</v>
      </c>
      <c r="F15" s="27"/>
    </row>
    <row r="16" spans="2:6">
      <c r="B16" s="28" t="s">
        <v>37</v>
      </c>
      <c r="C16" s="29">
        <v>40189</v>
      </c>
      <c r="D16" s="29">
        <v>40204</v>
      </c>
      <c r="E16" s="27">
        <f t="shared" si="0"/>
        <v>15</v>
      </c>
      <c r="F16" s="27"/>
    </row>
    <row r="17" spans="2:6">
      <c r="B17" s="28" t="s">
        <v>38</v>
      </c>
      <c r="C17" s="29">
        <v>40203</v>
      </c>
      <c r="D17" s="30">
        <v>40233</v>
      </c>
      <c r="E17" s="27">
        <f t="shared" si="0"/>
        <v>30</v>
      </c>
      <c r="F17" s="27"/>
    </row>
  </sheetData>
  <mergeCells count="2">
    <mergeCell ref="B3:E3"/>
    <mergeCell ref="B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Charts1</vt:lpstr>
      <vt:lpstr>Charts2</vt:lpstr>
      <vt:lpstr>Charts3</vt:lpstr>
      <vt:lpstr>Charts4</vt:lpstr>
      <vt:lpstr>Charts5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2026-02-09T17:48:02Z</dcterms:modified>
</cp:coreProperties>
</file>