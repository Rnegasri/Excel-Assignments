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6" windowHeight="11040"/>
  </bookViews>
  <sheets>
    <sheet name="Tax Invoice" sheetId="4" r:id="rId1"/>
    <sheet name="Product" sheetId="2" r:id="rId2"/>
    <sheet name="Customers" sheetId="3" r:id="rId3"/>
  </sheets>
  <externalReferences>
    <externalReference r:id="rId4"/>
  </externalReferences>
  <definedNames>
    <definedName name="CustList">Customers!$A$2:$A$13</definedName>
    <definedName name="Customer">Customers!$A$2:$C$13</definedName>
    <definedName name="Product">Product!$A$2:$B$6</definedName>
    <definedName name="ProList">Product!$A$2:$A$6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4"/>
  <c r="E11"/>
  <c r="E12"/>
  <c r="E13"/>
  <c r="E14"/>
  <c r="E15"/>
  <c r="E16"/>
  <c r="E17"/>
  <c r="E18"/>
  <c r="E19"/>
  <c r="E9"/>
  <c r="E5"/>
  <c r="F10"/>
  <c r="F11"/>
  <c r="F12"/>
  <c r="F13"/>
  <c r="F14"/>
  <c r="F15"/>
  <c r="F16"/>
  <c r="F17"/>
  <c r="F18"/>
  <c r="F19"/>
  <c r="F9"/>
  <c r="B10"/>
  <c r="B11"/>
  <c r="B12"/>
  <c r="B13"/>
  <c r="B14"/>
  <c r="B15"/>
  <c r="B16"/>
  <c r="B17"/>
  <c r="B18"/>
  <c r="B19"/>
  <c r="C6"/>
  <c r="F20" l="1"/>
  <c r="F22" s="1"/>
  <c r="F21" l="1"/>
  <c r="F23" s="1"/>
</calcChain>
</file>

<file path=xl/sharedStrings.xml><?xml version="1.0" encoding="utf-8"?>
<sst xmlns="http://schemas.openxmlformats.org/spreadsheetml/2006/main" count="72" uniqueCount="57">
  <si>
    <t>Stark Enterprises Ltd</t>
  </si>
  <si>
    <t>31, Baker Street</t>
  </si>
  <si>
    <t>Invoice No</t>
  </si>
  <si>
    <t>Address</t>
  </si>
  <si>
    <t>Objective: Create a fully automated Invoice where, End user needs to only select Customer Name, Product and Enter Number of Invoice &amp; Qty to generate an Invoice.</t>
  </si>
  <si>
    <t>Date</t>
  </si>
  <si>
    <t>Customer</t>
  </si>
  <si>
    <t>Gravity</t>
  </si>
  <si>
    <t>Instructions:</t>
  </si>
  <si>
    <t>S.No</t>
  </si>
  <si>
    <t>Product</t>
  </si>
  <si>
    <t>Qty</t>
  </si>
  <si>
    <t>Rate</t>
  </si>
  <si>
    <t>Amount</t>
  </si>
  <si>
    <t>Chair</t>
  </si>
  <si>
    <t>Invoice No' should look like SEL001, if Number "1" is entered by the user</t>
  </si>
  <si>
    <t>Desk Organizer</t>
  </si>
  <si>
    <t>Date of Invoice should be automatic</t>
  </si>
  <si>
    <t>Files &amp; Folders</t>
  </si>
  <si>
    <t>Customer should have pre-defined list, as per selection of Customer, Address should be automatically populated</t>
  </si>
  <si>
    <t>S.no. should be automated, will display automatically when product is selected</t>
  </si>
  <si>
    <t>Each cell under Product and Rate should have pre-defined lists to chose from</t>
  </si>
  <si>
    <t>Add appropriate formulas to complete all the necessary calculations</t>
  </si>
  <si>
    <t>Disount eligibility: Gross upto 2500- 0%, Gross more than or equal to 2500 -- 2%</t>
  </si>
  <si>
    <t>Rate'00</t>
  </si>
  <si>
    <t>Study Table</t>
  </si>
  <si>
    <t>Bookcase</t>
  </si>
  <si>
    <t>Type</t>
  </si>
  <si>
    <t>Interstellar</t>
  </si>
  <si>
    <t>Wholesaler</t>
  </si>
  <si>
    <t>Johannesburg, South Africa</t>
  </si>
  <si>
    <t>Retailer</t>
  </si>
  <si>
    <t>La Coruna, Spain</t>
  </si>
  <si>
    <t>Alien</t>
  </si>
  <si>
    <t>Bangalore, India</t>
  </si>
  <si>
    <t>Inception</t>
  </si>
  <si>
    <t>Chennai, India</t>
  </si>
  <si>
    <t>Avengers</t>
  </si>
  <si>
    <t>Tunis, Tunisia</t>
  </si>
  <si>
    <t>Aquaman</t>
  </si>
  <si>
    <t>Turku, Finland</t>
  </si>
  <si>
    <t>Thor</t>
  </si>
  <si>
    <t>Warsaw, Poland</t>
  </si>
  <si>
    <t>Legend</t>
  </si>
  <si>
    <t>Loki</t>
  </si>
  <si>
    <t>Guardian</t>
  </si>
  <si>
    <t>Limerick, Ireland</t>
  </si>
  <si>
    <t>Wonder</t>
  </si>
  <si>
    <t>Montpellier, France</t>
  </si>
  <si>
    <t>Moana</t>
  </si>
  <si>
    <t>Direct</t>
  </si>
  <si>
    <t>Katmandu, Nepal</t>
  </si>
  <si>
    <t>Gross Amount</t>
  </si>
  <si>
    <t>GST (5%)</t>
  </si>
  <si>
    <t>Discount</t>
  </si>
  <si>
    <t>Net Amount</t>
  </si>
  <si>
    <t>TAX INVOICE</t>
  </si>
</sst>
</file>

<file path=xl/styles.xml><?xml version="1.0" encoding="utf-8"?>
<styleSheet xmlns="http://schemas.openxmlformats.org/spreadsheetml/2006/main">
  <numFmts count="1">
    <numFmt numFmtId="164" formatCode="&quot;SEL&quot;000"/>
  </numFmts>
  <fonts count="11">
    <font>
      <sz val="11"/>
      <color theme="1"/>
      <name val="Calibri"/>
      <family val="2"/>
      <scheme val="minor"/>
    </font>
    <font>
      <b/>
      <sz val="16"/>
      <name val="Bahnschrift Light"/>
      <family val="2"/>
    </font>
    <font>
      <sz val="9"/>
      <color theme="9" tint="-0.499984740745262"/>
      <name val="Arial"/>
      <family val="2"/>
    </font>
    <font>
      <b/>
      <sz val="10"/>
      <color theme="2" tint="-0.749992370372631"/>
      <name val="Arial"/>
      <family val="2"/>
    </font>
    <font>
      <sz val="10"/>
      <color theme="2" tint="-0.749992370372631"/>
      <name val="Arial"/>
      <family val="2"/>
    </font>
    <font>
      <sz val="10"/>
      <color indexed="8"/>
      <name val="Arial"/>
      <family val="2"/>
    </font>
    <font>
      <b/>
      <sz val="10"/>
      <color theme="1" tint="0.249977111117893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  <font>
      <b/>
      <sz val="8"/>
      <color rgb="FF00206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9D4B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4" borderId="9" xfId="0" applyFont="1" applyFill="1" applyBorder="1"/>
    <xf numFmtId="0" fontId="0" fillId="0" borderId="0" xfId="0" applyAlignment="1">
      <alignment vertical="top"/>
    </xf>
    <xf numFmtId="0" fontId="4" fillId="4" borderId="12" xfId="0" applyFont="1" applyFill="1" applyBorder="1"/>
    <xf numFmtId="0" fontId="3" fillId="5" borderId="9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10" xfId="0" applyBorder="1" applyAlignment="1">
      <alignment horizontal="center"/>
    </xf>
    <xf numFmtId="0" fontId="0" fillId="6" borderId="1" xfId="0" applyFill="1" applyBorder="1"/>
    <xf numFmtId="0" fontId="0" fillId="6" borderId="3" xfId="0" applyFill="1" applyBorder="1"/>
    <xf numFmtId="0" fontId="5" fillId="6" borderId="9" xfId="0" applyFont="1" applyFill="1" applyBorder="1" applyAlignment="1">
      <alignment horizontal="right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8" xfId="0" applyFill="1" applyBorder="1"/>
    <xf numFmtId="0" fontId="6" fillId="7" borderId="9" xfId="0" applyFont="1" applyFill="1" applyBorder="1" applyAlignment="1">
      <alignment horizontal="right"/>
    </xf>
    <xf numFmtId="0" fontId="7" fillId="3" borderId="9" xfId="0" applyFont="1" applyFill="1" applyBorder="1"/>
    <xf numFmtId="0" fontId="8" fillId="0" borderId="9" xfId="0" applyFont="1" applyBorder="1"/>
    <xf numFmtId="164" fontId="4" fillId="4" borderId="13" xfId="0" applyNumberFormat="1" applyFont="1" applyFill="1" applyBorder="1" applyAlignment="1">
      <alignment horizontal="left"/>
    </xf>
    <xf numFmtId="0" fontId="4" fillId="4" borderId="10" xfId="0" applyFont="1" applyFill="1" applyBorder="1"/>
    <xf numFmtId="14" fontId="4" fillId="4" borderId="13" xfId="0" applyNumberFormat="1" applyFont="1" applyFill="1" applyBorder="1" applyAlignment="1">
      <alignment horizontal="left"/>
    </xf>
    <xf numFmtId="0" fontId="3" fillId="4" borderId="11" xfId="0" applyFont="1" applyFill="1" applyBorder="1"/>
    <xf numFmtId="0" fontId="4" fillId="4" borderId="13" xfId="0" applyFont="1" applyFill="1" applyBorder="1" applyAlignment="1">
      <alignment horizontal="left"/>
    </xf>
    <xf numFmtId="0" fontId="3" fillId="5" borderId="12" xfId="0" applyFont="1" applyFill="1" applyBorder="1" applyAlignment="1">
      <alignment horizontal="center"/>
    </xf>
    <xf numFmtId="0" fontId="0" fillId="0" borderId="1" xfId="0" applyBorder="1"/>
    <xf numFmtId="0" fontId="6" fillId="7" borderId="14" xfId="0" applyFont="1" applyFill="1" applyBorder="1" applyAlignment="1">
      <alignment horizontal="left"/>
    </xf>
    <xf numFmtId="0" fontId="6" fillId="7" borderId="9" xfId="0" applyFont="1" applyFill="1" applyBorder="1" applyAlignment="1">
      <alignment horizontal="left"/>
    </xf>
    <xf numFmtId="0" fontId="0" fillId="0" borderId="2" xfId="0" quotePrefix="1" applyBorder="1" applyAlignment="1">
      <alignment horizontal="left"/>
    </xf>
    <xf numFmtId="0" fontId="0" fillId="0" borderId="3" xfId="0" quotePrefix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3" fillId="6" borderId="14" xfId="0" applyFont="1" applyFill="1" applyBorder="1" applyAlignment="1">
      <alignment horizontal="left"/>
    </xf>
    <xf numFmtId="0" fontId="3" fillId="6" borderId="9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oduct_Master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duct_Mast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B2:S23"/>
  <sheetViews>
    <sheetView tabSelected="1" topLeftCell="C1" zoomScale="70" zoomScaleNormal="70" workbookViewId="0">
      <selection activeCell="B7" sqref="B7"/>
    </sheetView>
  </sheetViews>
  <sheetFormatPr defaultRowHeight="14.4"/>
  <cols>
    <col min="2" max="2" width="10.109375" bestFit="1" customWidth="1"/>
    <col min="3" max="3" width="16" customWidth="1"/>
    <col min="4" max="4" width="8.5546875" customWidth="1"/>
    <col min="5" max="5" width="8.33203125" customWidth="1"/>
    <col min="9" max="9" width="5.109375" customWidth="1"/>
    <col min="10" max="18" width="9.6640625" customWidth="1"/>
    <col min="19" max="19" width="16.109375" customWidth="1"/>
  </cols>
  <sheetData>
    <row r="2" spans="2:19">
      <c r="B2" s="41" t="s">
        <v>56</v>
      </c>
      <c r="C2" s="42"/>
      <c r="D2" s="42"/>
      <c r="E2" s="42"/>
      <c r="F2" s="43"/>
    </row>
    <row r="3" spans="2:19" ht="20.399999999999999">
      <c r="B3" s="44" t="s">
        <v>0</v>
      </c>
      <c r="C3" s="45"/>
      <c r="D3" s="45"/>
      <c r="E3" s="45"/>
      <c r="F3" s="46"/>
    </row>
    <row r="4" spans="2:19">
      <c r="B4" s="47" t="s">
        <v>1</v>
      </c>
      <c r="C4" s="48"/>
      <c r="D4" s="49"/>
      <c r="E4" s="48"/>
      <c r="F4" s="50"/>
      <c r="I4" s="51" t="s">
        <v>4</v>
      </c>
      <c r="J4" s="52"/>
      <c r="K4" s="52"/>
      <c r="L4" s="52"/>
      <c r="M4" s="52"/>
      <c r="N4" s="52"/>
      <c r="O4" s="52"/>
      <c r="P4" s="52"/>
      <c r="Q4" s="52"/>
      <c r="R4" s="52"/>
      <c r="S4" s="53"/>
    </row>
    <row r="5" spans="2:19">
      <c r="B5" s="1" t="s">
        <v>2</v>
      </c>
      <c r="C5" s="22">
        <v>1</v>
      </c>
      <c r="D5" s="23"/>
      <c r="E5" s="57" t="str">
        <f>IFERROR(VLOOKUP(B7,Customers!A:C,3,FALSE),"")</f>
        <v>Bangalore, India</v>
      </c>
      <c r="F5" s="58"/>
      <c r="I5" s="54"/>
      <c r="J5" s="55"/>
      <c r="K5" s="55"/>
      <c r="L5" s="55"/>
      <c r="M5" s="55"/>
      <c r="N5" s="55"/>
      <c r="O5" s="55"/>
      <c r="P5" s="55"/>
      <c r="Q5" s="55"/>
      <c r="R5" s="55"/>
      <c r="S5" s="56"/>
    </row>
    <row r="6" spans="2:19">
      <c r="B6" s="1" t="s">
        <v>5</v>
      </c>
      <c r="C6" s="24">
        <f ca="1">TODAY()</f>
        <v>46062</v>
      </c>
      <c r="D6" s="25" t="s">
        <v>3</v>
      </c>
      <c r="E6" s="59"/>
      <c r="F6" s="60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>
      <c r="B7" s="1" t="s">
        <v>43</v>
      </c>
      <c r="C7" s="26"/>
      <c r="D7" s="3"/>
      <c r="E7" s="61"/>
      <c r="F7" s="62"/>
      <c r="I7" s="63" t="s">
        <v>8</v>
      </c>
      <c r="J7" s="63"/>
    </row>
    <row r="8" spans="2:19">
      <c r="B8" s="4" t="s">
        <v>9</v>
      </c>
      <c r="C8" s="4" t="s">
        <v>10</v>
      </c>
      <c r="D8" s="27" t="s">
        <v>11</v>
      </c>
      <c r="E8" s="4" t="s">
        <v>12</v>
      </c>
      <c r="F8" s="4" t="s">
        <v>13</v>
      </c>
    </row>
    <row r="9" spans="2:19">
      <c r="B9" s="5"/>
      <c r="C9" s="6" t="s">
        <v>25</v>
      </c>
      <c r="D9" s="5">
        <v>2</v>
      </c>
      <c r="E9" s="5">
        <f>IFERROR(VLOOKUP(C9,Product!A:B,2,FALSE),"")</f>
        <v>150</v>
      </c>
      <c r="F9" s="7">
        <f>IF(D9="","",D9*E9)</f>
        <v>300</v>
      </c>
      <c r="I9" s="28">
        <v>1</v>
      </c>
      <c r="J9" s="31" t="s">
        <v>15</v>
      </c>
      <c r="K9" s="31"/>
      <c r="L9" s="31"/>
      <c r="M9" s="31"/>
      <c r="N9" s="31"/>
      <c r="O9" s="31"/>
      <c r="P9" s="31"/>
      <c r="Q9" s="31"/>
      <c r="R9" s="31"/>
      <c r="S9" s="32"/>
    </row>
    <row r="10" spans="2:19">
      <c r="B10" s="5" t="str">
        <f t="shared" ref="B10:B19" si="0">IF(C10="","",ROW()-8)</f>
        <v/>
      </c>
      <c r="C10" s="6"/>
      <c r="D10" s="8"/>
      <c r="E10" s="5" t="str">
        <f>IFERROR(VLOOKUP(C10,Product!A:B,2,FALSE),"")</f>
        <v/>
      </c>
      <c r="F10" s="7" t="str">
        <f t="shared" ref="F10:F19" si="1">IF(D10="","",D10*E10)</f>
        <v/>
      </c>
      <c r="I10" s="9">
        <v>2</v>
      </c>
      <c r="J10" s="33" t="s">
        <v>17</v>
      </c>
      <c r="K10" s="33"/>
      <c r="L10" s="33"/>
      <c r="M10" s="33"/>
      <c r="N10" s="33"/>
      <c r="O10" s="33"/>
      <c r="P10" s="33"/>
      <c r="Q10" s="33"/>
      <c r="R10" s="33"/>
      <c r="S10" s="34"/>
    </row>
    <row r="11" spans="2:19" ht="14.4" customHeight="1">
      <c r="B11" s="5" t="str">
        <f t="shared" si="0"/>
        <v/>
      </c>
      <c r="C11" s="6"/>
      <c r="D11" s="8"/>
      <c r="E11" s="5" t="str">
        <f>IFERROR(VLOOKUP(C11,Product!A:B,2,FALSE),"")</f>
        <v/>
      </c>
      <c r="F11" s="7" t="str">
        <f t="shared" si="1"/>
        <v/>
      </c>
      <c r="I11" s="9">
        <v>3</v>
      </c>
      <c r="J11" s="35" t="s">
        <v>19</v>
      </c>
      <c r="K11" s="35"/>
      <c r="L11" s="35"/>
      <c r="M11" s="35"/>
      <c r="N11" s="35"/>
      <c r="O11" s="35"/>
      <c r="P11" s="35"/>
      <c r="Q11" s="35"/>
      <c r="R11" s="35"/>
      <c r="S11" s="36"/>
    </row>
    <row r="12" spans="2:19">
      <c r="B12" s="5" t="str">
        <f t="shared" si="0"/>
        <v/>
      </c>
      <c r="C12" s="6"/>
      <c r="D12" s="8"/>
      <c r="E12" s="5" t="str">
        <f>IFERROR(VLOOKUP(C12,Product!A:B,2,FALSE),"")</f>
        <v/>
      </c>
      <c r="F12" s="7" t="str">
        <f t="shared" si="1"/>
        <v/>
      </c>
      <c r="I12" s="9">
        <v>4</v>
      </c>
      <c r="J12" s="33" t="s">
        <v>20</v>
      </c>
      <c r="K12" s="33"/>
      <c r="L12" s="33"/>
      <c r="M12" s="33"/>
      <c r="N12" s="33"/>
      <c r="O12" s="33"/>
      <c r="P12" s="33"/>
      <c r="Q12" s="33"/>
      <c r="R12" s="33"/>
      <c r="S12" s="34"/>
    </row>
    <row r="13" spans="2:19">
      <c r="B13" s="5" t="str">
        <f t="shared" si="0"/>
        <v/>
      </c>
      <c r="C13" s="6"/>
      <c r="D13" s="8"/>
      <c r="E13" s="5" t="str">
        <f>IFERROR(VLOOKUP(C13,Product!A:B,2,FALSE),"")</f>
        <v/>
      </c>
      <c r="F13" s="7" t="str">
        <f t="shared" si="1"/>
        <v/>
      </c>
      <c r="I13" s="9">
        <v>5</v>
      </c>
      <c r="J13" s="33" t="s">
        <v>21</v>
      </c>
      <c r="K13" s="33"/>
      <c r="L13" s="33"/>
      <c r="M13" s="33"/>
      <c r="N13" s="33"/>
      <c r="O13" s="33"/>
      <c r="P13" s="33"/>
      <c r="Q13" s="33"/>
      <c r="R13" s="33"/>
      <c r="S13" s="34"/>
    </row>
    <row r="14" spans="2:19">
      <c r="B14" s="5" t="str">
        <f t="shared" si="0"/>
        <v/>
      </c>
      <c r="C14" s="6"/>
      <c r="D14" s="8"/>
      <c r="E14" s="5" t="str">
        <f>IFERROR(VLOOKUP(C14,Product!A:B,2,FALSE),"")</f>
        <v/>
      </c>
      <c r="F14" s="7" t="str">
        <f t="shared" si="1"/>
        <v/>
      </c>
      <c r="I14" s="9">
        <v>6</v>
      </c>
      <c r="J14" s="33" t="s">
        <v>22</v>
      </c>
      <c r="K14" s="33"/>
      <c r="L14" s="33"/>
      <c r="M14" s="33"/>
      <c r="N14" s="33"/>
      <c r="O14" s="33"/>
      <c r="P14" s="33"/>
      <c r="Q14" s="33"/>
      <c r="R14" s="33"/>
      <c r="S14" s="34"/>
    </row>
    <row r="15" spans="2:19">
      <c r="B15" s="5" t="str">
        <f t="shared" si="0"/>
        <v/>
      </c>
      <c r="C15" s="6"/>
      <c r="D15" s="8"/>
      <c r="E15" s="5" t="str">
        <f>IFERROR(VLOOKUP(C15,Product!A:B,2,FALSE),"")</f>
        <v/>
      </c>
      <c r="F15" s="7" t="str">
        <f t="shared" si="1"/>
        <v/>
      </c>
      <c r="I15" s="10">
        <v>7</v>
      </c>
      <c r="J15" s="37" t="s">
        <v>23</v>
      </c>
      <c r="K15" s="37"/>
      <c r="L15" s="37"/>
      <c r="M15" s="37"/>
      <c r="N15" s="37"/>
      <c r="O15" s="37"/>
      <c r="P15" s="37"/>
      <c r="Q15" s="37"/>
      <c r="R15" s="37"/>
      <c r="S15" s="38"/>
    </row>
    <row r="16" spans="2:19">
      <c r="B16" s="5" t="str">
        <f t="shared" si="0"/>
        <v/>
      </c>
      <c r="C16" s="6"/>
      <c r="D16" s="8"/>
      <c r="E16" s="5" t="str">
        <f>IFERROR(VLOOKUP(C16,Product!A:B,2,FALSE),"")</f>
        <v/>
      </c>
      <c r="F16" s="7" t="str">
        <f t="shared" si="1"/>
        <v/>
      </c>
    </row>
    <row r="17" spans="2:6">
      <c r="B17" s="5" t="str">
        <f t="shared" si="0"/>
        <v/>
      </c>
      <c r="C17" s="6"/>
      <c r="D17" s="8"/>
      <c r="E17" s="5" t="str">
        <f>IFERROR(VLOOKUP(C17,Product!A:B,2,FALSE),"")</f>
        <v/>
      </c>
      <c r="F17" s="7" t="str">
        <f t="shared" si="1"/>
        <v/>
      </c>
    </row>
    <row r="18" spans="2:6">
      <c r="B18" s="5" t="str">
        <f t="shared" si="0"/>
        <v/>
      </c>
      <c r="C18" s="6"/>
      <c r="D18" s="8"/>
      <c r="E18" s="5" t="str">
        <f>IFERROR(VLOOKUP(C18,Product!A:B,2,FALSE),"")</f>
        <v/>
      </c>
      <c r="F18" s="7" t="str">
        <f t="shared" si="1"/>
        <v/>
      </c>
    </row>
    <row r="19" spans="2:6">
      <c r="B19" s="5" t="str">
        <f t="shared" si="0"/>
        <v/>
      </c>
      <c r="C19" s="6"/>
      <c r="D19" s="11"/>
      <c r="E19" s="5" t="str">
        <f>IFERROR(VLOOKUP(C19,Product!A:B,2,FALSE),"")</f>
        <v/>
      </c>
      <c r="F19" s="7" t="str">
        <f t="shared" si="1"/>
        <v/>
      </c>
    </row>
    <row r="20" spans="2:6">
      <c r="B20" s="12"/>
      <c r="C20" s="13"/>
      <c r="D20" s="39" t="s">
        <v>52</v>
      </c>
      <c r="E20" s="40"/>
      <c r="F20" s="14">
        <f>SUM(F9:F18)</f>
        <v>300</v>
      </c>
    </row>
    <row r="21" spans="2:6">
      <c r="B21" s="15"/>
      <c r="C21" s="16"/>
      <c r="D21" s="39" t="s">
        <v>53</v>
      </c>
      <c r="E21" s="40"/>
      <c r="F21" s="14">
        <f>F20*5%</f>
        <v>15</v>
      </c>
    </row>
    <row r="22" spans="2:6">
      <c r="B22" s="15"/>
      <c r="C22" s="16"/>
      <c r="D22" s="39" t="s">
        <v>54</v>
      </c>
      <c r="E22" s="40"/>
      <c r="F22" s="14">
        <f>IF(F20&gt;=2500,F20*2%,0)</f>
        <v>0</v>
      </c>
    </row>
    <row r="23" spans="2:6">
      <c r="B23" s="17"/>
      <c r="C23" s="18"/>
      <c r="D23" s="29" t="s">
        <v>55</v>
      </c>
      <c r="E23" s="30"/>
      <c r="F23" s="19">
        <f>F20+F21-F22</f>
        <v>315</v>
      </c>
    </row>
  </sheetData>
  <mergeCells count="17">
    <mergeCell ref="B2:F2"/>
    <mergeCell ref="B3:F3"/>
    <mergeCell ref="B4:F4"/>
    <mergeCell ref="I4:S5"/>
    <mergeCell ref="E5:F7"/>
    <mergeCell ref="I7:J7"/>
    <mergeCell ref="D23:E23"/>
    <mergeCell ref="J9:S9"/>
    <mergeCell ref="J10:S10"/>
    <mergeCell ref="J11:S11"/>
    <mergeCell ref="J12:S12"/>
    <mergeCell ref="J13:S13"/>
    <mergeCell ref="J14:S14"/>
    <mergeCell ref="J15:S15"/>
    <mergeCell ref="D20:E20"/>
    <mergeCell ref="D21:E21"/>
    <mergeCell ref="D22:E22"/>
  </mergeCells>
  <dataValidations count="3">
    <dataValidation type="list" allowBlank="1" showInputMessage="1" showErrorMessage="1" sqref="C10:C19">
      <formula1>Product!A2:A10</formula1>
    </dataValidation>
    <dataValidation type="list" allowBlank="1" showInputMessage="1" showErrorMessage="1" sqref="B7">
      <formula1>Customers!A2:A10</formula1>
    </dataValidation>
    <dataValidation type="list" allowBlank="1" showInputMessage="1" showErrorMessage="1" sqref="C9">
      <formula1>Product!A2:A6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zoomScale="160" zoomScaleNormal="160" workbookViewId="0">
      <selection activeCell="B14" sqref="B14"/>
    </sheetView>
  </sheetViews>
  <sheetFormatPr defaultRowHeight="14.4"/>
  <cols>
    <col min="1" max="1" width="13.44140625" bestFit="1" customWidth="1"/>
  </cols>
  <sheetData>
    <row r="1" spans="1:2">
      <c r="A1" s="20" t="s">
        <v>10</v>
      </c>
      <c r="B1" s="20" t="s">
        <v>24</v>
      </c>
    </row>
    <row r="2" spans="1:2">
      <c r="A2" s="21" t="s">
        <v>25</v>
      </c>
      <c r="B2" s="21">
        <v>150</v>
      </c>
    </row>
    <row r="3" spans="1:2">
      <c r="A3" s="21" t="s">
        <v>14</v>
      </c>
      <c r="B3" s="21">
        <v>100</v>
      </c>
    </row>
    <row r="4" spans="1:2">
      <c r="A4" s="21" t="s">
        <v>16</v>
      </c>
      <c r="B4" s="21">
        <v>200</v>
      </c>
    </row>
    <row r="5" spans="1:2">
      <c r="A5" s="21" t="s">
        <v>18</v>
      </c>
      <c r="B5" s="21">
        <v>50</v>
      </c>
    </row>
    <row r="6" spans="1:2">
      <c r="A6" s="21" t="s">
        <v>26</v>
      </c>
      <c r="B6" s="2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zoomScale="160" zoomScaleNormal="160" workbookViewId="0">
      <selection activeCell="C3" sqref="C3"/>
    </sheetView>
  </sheetViews>
  <sheetFormatPr defaultRowHeight="14.4"/>
  <cols>
    <col min="1" max="1" width="11" customWidth="1"/>
    <col min="2" max="2" width="11.6640625" customWidth="1"/>
    <col min="3" max="3" width="21.6640625" bestFit="1" customWidth="1"/>
    <col min="257" max="257" width="11" customWidth="1"/>
    <col min="258" max="258" width="11.6640625" customWidth="1"/>
    <col min="259" max="259" width="21.6640625" bestFit="1" customWidth="1"/>
    <col min="513" max="513" width="11" customWidth="1"/>
    <col min="514" max="514" width="11.6640625" customWidth="1"/>
    <col min="515" max="515" width="21.6640625" bestFit="1" customWidth="1"/>
    <col min="769" max="769" width="11" customWidth="1"/>
    <col min="770" max="770" width="11.6640625" customWidth="1"/>
    <col min="771" max="771" width="21.6640625" bestFit="1" customWidth="1"/>
    <col min="1025" max="1025" width="11" customWidth="1"/>
    <col min="1026" max="1026" width="11.6640625" customWidth="1"/>
    <col min="1027" max="1027" width="21.6640625" bestFit="1" customWidth="1"/>
    <col min="1281" max="1281" width="11" customWidth="1"/>
    <col min="1282" max="1282" width="11.6640625" customWidth="1"/>
    <col min="1283" max="1283" width="21.6640625" bestFit="1" customWidth="1"/>
    <col min="1537" max="1537" width="11" customWidth="1"/>
    <col min="1538" max="1538" width="11.6640625" customWidth="1"/>
    <col min="1539" max="1539" width="21.6640625" bestFit="1" customWidth="1"/>
    <col min="1793" max="1793" width="11" customWidth="1"/>
    <col min="1794" max="1794" width="11.6640625" customWidth="1"/>
    <col min="1795" max="1795" width="21.6640625" bestFit="1" customWidth="1"/>
    <col min="2049" max="2049" width="11" customWidth="1"/>
    <col min="2050" max="2050" width="11.6640625" customWidth="1"/>
    <col min="2051" max="2051" width="21.6640625" bestFit="1" customWidth="1"/>
    <col min="2305" max="2305" width="11" customWidth="1"/>
    <col min="2306" max="2306" width="11.6640625" customWidth="1"/>
    <col min="2307" max="2307" width="21.6640625" bestFit="1" customWidth="1"/>
    <col min="2561" max="2561" width="11" customWidth="1"/>
    <col min="2562" max="2562" width="11.6640625" customWidth="1"/>
    <col min="2563" max="2563" width="21.6640625" bestFit="1" customWidth="1"/>
    <col min="2817" max="2817" width="11" customWidth="1"/>
    <col min="2818" max="2818" width="11.6640625" customWidth="1"/>
    <col min="2819" max="2819" width="21.6640625" bestFit="1" customWidth="1"/>
    <col min="3073" max="3073" width="11" customWidth="1"/>
    <col min="3074" max="3074" width="11.6640625" customWidth="1"/>
    <col min="3075" max="3075" width="21.6640625" bestFit="1" customWidth="1"/>
    <col min="3329" max="3329" width="11" customWidth="1"/>
    <col min="3330" max="3330" width="11.6640625" customWidth="1"/>
    <col min="3331" max="3331" width="21.6640625" bestFit="1" customWidth="1"/>
    <col min="3585" max="3585" width="11" customWidth="1"/>
    <col min="3586" max="3586" width="11.6640625" customWidth="1"/>
    <col min="3587" max="3587" width="21.6640625" bestFit="1" customWidth="1"/>
    <col min="3841" max="3841" width="11" customWidth="1"/>
    <col min="3842" max="3842" width="11.6640625" customWidth="1"/>
    <col min="3843" max="3843" width="21.6640625" bestFit="1" customWidth="1"/>
    <col min="4097" max="4097" width="11" customWidth="1"/>
    <col min="4098" max="4098" width="11.6640625" customWidth="1"/>
    <col min="4099" max="4099" width="21.6640625" bestFit="1" customWidth="1"/>
    <col min="4353" max="4353" width="11" customWidth="1"/>
    <col min="4354" max="4354" width="11.6640625" customWidth="1"/>
    <col min="4355" max="4355" width="21.6640625" bestFit="1" customWidth="1"/>
    <col min="4609" max="4609" width="11" customWidth="1"/>
    <col min="4610" max="4610" width="11.6640625" customWidth="1"/>
    <col min="4611" max="4611" width="21.6640625" bestFit="1" customWidth="1"/>
    <col min="4865" max="4865" width="11" customWidth="1"/>
    <col min="4866" max="4866" width="11.6640625" customWidth="1"/>
    <col min="4867" max="4867" width="21.6640625" bestFit="1" customWidth="1"/>
    <col min="5121" max="5121" width="11" customWidth="1"/>
    <col min="5122" max="5122" width="11.6640625" customWidth="1"/>
    <col min="5123" max="5123" width="21.6640625" bestFit="1" customWidth="1"/>
    <col min="5377" max="5377" width="11" customWidth="1"/>
    <col min="5378" max="5378" width="11.6640625" customWidth="1"/>
    <col min="5379" max="5379" width="21.6640625" bestFit="1" customWidth="1"/>
    <col min="5633" max="5633" width="11" customWidth="1"/>
    <col min="5634" max="5634" width="11.6640625" customWidth="1"/>
    <col min="5635" max="5635" width="21.6640625" bestFit="1" customWidth="1"/>
    <col min="5889" max="5889" width="11" customWidth="1"/>
    <col min="5890" max="5890" width="11.6640625" customWidth="1"/>
    <col min="5891" max="5891" width="21.6640625" bestFit="1" customWidth="1"/>
    <col min="6145" max="6145" width="11" customWidth="1"/>
    <col min="6146" max="6146" width="11.6640625" customWidth="1"/>
    <col min="6147" max="6147" width="21.6640625" bestFit="1" customWidth="1"/>
    <col min="6401" max="6401" width="11" customWidth="1"/>
    <col min="6402" max="6402" width="11.6640625" customWidth="1"/>
    <col min="6403" max="6403" width="21.6640625" bestFit="1" customWidth="1"/>
    <col min="6657" max="6657" width="11" customWidth="1"/>
    <col min="6658" max="6658" width="11.6640625" customWidth="1"/>
    <col min="6659" max="6659" width="21.6640625" bestFit="1" customWidth="1"/>
    <col min="6913" max="6913" width="11" customWidth="1"/>
    <col min="6914" max="6914" width="11.6640625" customWidth="1"/>
    <col min="6915" max="6915" width="21.6640625" bestFit="1" customWidth="1"/>
    <col min="7169" max="7169" width="11" customWidth="1"/>
    <col min="7170" max="7170" width="11.6640625" customWidth="1"/>
    <col min="7171" max="7171" width="21.6640625" bestFit="1" customWidth="1"/>
    <col min="7425" max="7425" width="11" customWidth="1"/>
    <col min="7426" max="7426" width="11.6640625" customWidth="1"/>
    <col min="7427" max="7427" width="21.6640625" bestFit="1" customWidth="1"/>
    <col min="7681" max="7681" width="11" customWidth="1"/>
    <col min="7682" max="7682" width="11.6640625" customWidth="1"/>
    <col min="7683" max="7683" width="21.6640625" bestFit="1" customWidth="1"/>
    <col min="7937" max="7937" width="11" customWidth="1"/>
    <col min="7938" max="7938" width="11.6640625" customWidth="1"/>
    <col min="7939" max="7939" width="21.6640625" bestFit="1" customWidth="1"/>
    <col min="8193" max="8193" width="11" customWidth="1"/>
    <col min="8194" max="8194" width="11.6640625" customWidth="1"/>
    <col min="8195" max="8195" width="21.6640625" bestFit="1" customWidth="1"/>
    <col min="8449" max="8449" width="11" customWidth="1"/>
    <col min="8450" max="8450" width="11.6640625" customWidth="1"/>
    <col min="8451" max="8451" width="21.6640625" bestFit="1" customWidth="1"/>
    <col min="8705" max="8705" width="11" customWidth="1"/>
    <col min="8706" max="8706" width="11.6640625" customWidth="1"/>
    <col min="8707" max="8707" width="21.6640625" bestFit="1" customWidth="1"/>
    <col min="8961" max="8961" width="11" customWidth="1"/>
    <col min="8962" max="8962" width="11.6640625" customWidth="1"/>
    <col min="8963" max="8963" width="21.6640625" bestFit="1" customWidth="1"/>
    <col min="9217" max="9217" width="11" customWidth="1"/>
    <col min="9218" max="9218" width="11.6640625" customWidth="1"/>
    <col min="9219" max="9219" width="21.6640625" bestFit="1" customWidth="1"/>
    <col min="9473" max="9473" width="11" customWidth="1"/>
    <col min="9474" max="9474" width="11.6640625" customWidth="1"/>
    <col min="9475" max="9475" width="21.6640625" bestFit="1" customWidth="1"/>
    <col min="9729" max="9729" width="11" customWidth="1"/>
    <col min="9730" max="9730" width="11.6640625" customWidth="1"/>
    <col min="9731" max="9731" width="21.6640625" bestFit="1" customWidth="1"/>
    <col min="9985" max="9985" width="11" customWidth="1"/>
    <col min="9986" max="9986" width="11.6640625" customWidth="1"/>
    <col min="9987" max="9987" width="21.6640625" bestFit="1" customWidth="1"/>
    <col min="10241" max="10241" width="11" customWidth="1"/>
    <col min="10242" max="10242" width="11.6640625" customWidth="1"/>
    <col min="10243" max="10243" width="21.6640625" bestFit="1" customWidth="1"/>
    <col min="10497" max="10497" width="11" customWidth="1"/>
    <col min="10498" max="10498" width="11.6640625" customWidth="1"/>
    <col min="10499" max="10499" width="21.6640625" bestFit="1" customWidth="1"/>
    <col min="10753" max="10753" width="11" customWidth="1"/>
    <col min="10754" max="10754" width="11.6640625" customWidth="1"/>
    <col min="10755" max="10755" width="21.6640625" bestFit="1" customWidth="1"/>
    <col min="11009" max="11009" width="11" customWidth="1"/>
    <col min="11010" max="11010" width="11.6640625" customWidth="1"/>
    <col min="11011" max="11011" width="21.6640625" bestFit="1" customWidth="1"/>
    <col min="11265" max="11265" width="11" customWidth="1"/>
    <col min="11266" max="11266" width="11.6640625" customWidth="1"/>
    <col min="11267" max="11267" width="21.6640625" bestFit="1" customWidth="1"/>
    <col min="11521" max="11521" width="11" customWidth="1"/>
    <col min="11522" max="11522" width="11.6640625" customWidth="1"/>
    <col min="11523" max="11523" width="21.6640625" bestFit="1" customWidth="1"/>
    <col min="11777" max="11777" width="11" customWidth="1"/>
    <col min="11778" max="11778" width="11.6640625" customWidth="1"/>
    <col min="11779" max="11779" width="21.6640625" bestFit="1" customWidth="1"/>
    <col min="12033" max="12033" width="11" customWidth="1"/>
    <col min="12034" max="12034" width="11.6640625" customWidth="1"/>
    <col min="12035" max="12035" width="21.6640625" bestFit="1" customWidth="1"/>
    <col min="12289" max="12289" width="11" customWidth="1"/>
    <col min="12290" max="12290" width="11.6640625" customWidth="1"/>
    <col min="12291" max="12291" width="21.6640625" bestFit="1" customWidth="1"/>
    <col min="12545" max="12545" width="11" customWidth="1"/>
    <col min="12546" max="12546" width="11.6640625" customWidth="1"/>
    <col min="12547" max="12547" width="21.6640625" bestFit="1" customWidth="1"/>
    <col min="12801" max="12801" width="11" customWidth="1"/>
    <col min="12802" max="12802" width="11.6640625" customWidth="1"/>
    <col min="12803" max="12803" width="21.6640625" bestFit="1" customWidth="1"/>
    <col min="13057" max="13057" width="11" customWidth="1"/>
    <col min="13058" max="13058" width="11.6640625" customWidth="1"/>
    <col min="13059" max="13059" width="21.6640625" bestFit="1" customWidth="1"/>
    <col min="13313" max="13313" width="11" customWidth="1"/>
    <col min="13314" max="13314" width="11.6640625" customWidth="1"/>
    <col min="13315" max="13315" width="21.6640625" bestFit="1" customWidth="1"/>
    <col min="13569" max="13569" width="11" customWidth="1"/>
    <col min="13570" max="13570" width="11.6640625" customWidth="1"/>
    <col min="13571" max="13571" width="21.6640625" bestFit="1" customWidth="1"/>
    <col min="13825" max="13825" width="11" customWidth="1"/>
    <col min="13826" max="13826" width="11.6640625" customWidth="1"/>
    <col min="13827" max="13827" width="21.6640625" bestFit="1" customWidth="1"/>
    <col min="14081" max="14081" width="11" customWidth="1"/>
    <col min="14082" max="14082" width="11.6640625" customWidth="1"/>
    <col min="14083" max="14083" width="21.6640625" bestFit="1" customWidth="1"/>
    <col min="14337" max="14337" width="11" customWidth="1"/>
    <col min="14338" max="14338" width="11.6640625" customWidth="1"/>
    <col min="14339" max="14339" width="21.6640625" bestFit="1" customWidth="1"/>
    <col min="14593" max="14593" width="11" customWidth="1"/>
    <col min="14594" max="14594" width="11.6640625" customWidth="1"/>
    <col min="14595" max="14595" width="21.6640625" bestFit="1" customWidth="1"/>
    <col min="14849" max="14849" width="11" customWidth="1"/>
    <col min="14850" max="14850" width="11.6640625" customWidth="1"/>
    <col min="14851" max="14851" width="21.6640625" bestFit="1" customWidth="1"/>
    <col min="15105" max="15105" width="11" customWidth="1"/>
    <col min="15106" max="15106" width="11.6640625" customWidth="1"/>
    <col min="15107" max="15107" width="21.6640625" bestFit="1" customWidth="1"/>
    <col min="15361" max="15361" width="11" customWidth="1"/>
    <col min="15362" max="15362" width="11.6640625" customWidth="1"/>
    <col min="15363" max="15363" width="21.6640625" bestFit="1" customWidth="1"/>
    <col min="15617" max="15617" width="11" customWidth="1"/>
    <col min="15618" max="15618" width="11.6640625" customWidth="1"/>
    <col min="15619" max="15619" width="21.6640625" bestFit="1" customWidth="1"/>
    <col min="15873" max="15873" width="11" customWidth="1"/>
    <col min="15874" max="15874" width="11.6640625" customWidth="1"/>
    <col min="15875" max="15875" width="21.6640625" bestFit="1" customWidth="1"/>
    <col min="16129" max="16129" width="11" customWidth="1"/>
    <col min="16130" max="16130" width="11.6640625" customWidth="1"/>
    <col min="16131" max="16131" width="21.6640625" bestFit="1" customWidth="1"/>
  </cols>
  <sheetData>
    <row r="1" spans="1:3">
      <c r="A1" s="20" t="s">
        <v>6</v>
      </c>
      <c r="B1" s="20" t="s">
        <v>27</v>
      </c>
      <c r="C1" s="20" t="s">
        <v>3</v>
      </c>
    </row>
    <row r="2" spans="1:3">
      <c r="A2" s="21" t="s">
        <v>28</v>
      </c>
      <c r="B2" s="21" t="s">
        <v>29</v>
      </c>
      <c r="C2" s="21" t="s">
        <v>30</v>
      </c>
    </row>
    <row r="3" spans="1:3">
      <c r="A3" s="21" t="s">
        <v>7</v>
      </c>
      <c r="B3" s="21" t="s">
        <v>31</v>
      </c>
      <c r="C3" s="21" t="s">
        <v>32</v>
      </c>
    </row>
    <row r="4" spans="1:3">
      <c r="A4" s="21" t="s">
        <v>33</v>
      </c>
      <c r="B4" s="21" t="s">
        <v>29</v>
      </c>
      <c r="C4" s="21" t="s">
        <v>34</v>
      </c>
    </row>
    <row r="5" spans="1:3">
      <c r="A5" s="21" t="s">
        <v>35</v>
      </c>
      <c r="B5" s="21" t="s">
        <v>31</v>
      </c>
      <c r="C5" s="21" t="s">
        <v>36</v>
      </c>
    </row>
    <row r="6" spans="1:3">
      <c r="A6" s="21" t="s">
        <v>37</v>
      </c>
      <c r="B6" s="21" t="s">
        <v>29</v>
      </c>
      <c r="C6" s="21" t="s">
        <v>38</v>
      </c>
    </row>
    <row r="7" spans="1:3">
      <c r="A7" s="21" t="s">
        <v>39</v>
      </c>
      <c r="B7" s="21" t="s">
        <v>31</v>
      </c>
      <c r="C7" s="21" t="s">
        <v>40</v>
      </c>
    </row>
    <row r="8" spans="1:3">
      <c r="A8" s="21" t="s">
        <v>41</v>
      </c>
      <c r="B8" s="21" t="s">
        <v>29</v>
      </c>
      <c r="C8" s="21" t="s">
        <v>42</v>
      </c>
    </row>
    <row r="9" spans="1:3">
      <c r="A9" s="21" t="s">
        <v>43</v>
      </c>
      <c r="B9" s="21" t="s">
        <v>31</v>
      </c>
      <c r="C9" s="21" t="s">
        <v>34</v>
      </c>
    </row>
    <row r="10" spans="1:3">
      <c r="A10" s="21" t="s">
        <v>44</v>
      </c>
      <c r="B10" s="21" t="s">
        <v>29</v>
      </c>
      <c r="C10" s="21" t="s">
        <v>36</v>
      </c>
    </row>
    <row r="11" spans="1:3">
      <c r="A11" s="21" t="s">
        <v>45</v>
      </c>
      <c r="B11" s="21" t="s">
        <v>29</v>
      </c>
      <c r="C11" s="21" t="s">
        <v>46</v>
      </c>
    </row>
    <row r="12" spans="1:3">
      <c r="A12" s="21" t="s">
        <v>47</v>
      </c>
      <c r="B12" s="21" t="s">
        <v>31</v>
      </c>
      <c r="C12" s="21" t="s">
        <v>48</v>
      </c>
    </row>
    <row r="13" spans="1:3">
      <c r="A13" s="21" t="s">
        <v>49</v>
      </c>
      <c r="B13" s="21" t="s">
        <v>50</v>
      </c>
      <c r="C13" s="2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Tax Invoice</vt:lpstr>
      <vt:lpstr>Product</vt:lpstr>
      <vt:lpstr>Customers</vt:lpstr>
      <vt:lpstr>CustList</vt:lpstr>
      <vt:lpstr>Customer</vt:lpstr>
      <vt:lpstr>Product</vt:lpstr>
      <vt:lpstr>ProList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Halli</dc:creator>
  <cp:lastModifiedBy>Admin</cp:lastModifiedBy>
  <dcterms:created xsi:type="dcterms:W3CDTF">2015-06-05T18:17:20Z</dcterms:created>
  <dcterms:modified xsi:type="dcterms:W3CDTF">2026-02-09T17:14:48Z</dcterms:modified>
</cp:coreProperties>
</file>