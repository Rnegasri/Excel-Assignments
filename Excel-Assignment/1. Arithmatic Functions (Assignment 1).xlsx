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6" windowHeight="11040"/>
  </bookViews>
  <sheets>
    <sheet name="Arithmatic Functions" sheetId="1" r:id="rId1"/>
    <sheet name="Operators" sheetId="2" r:id="rId2"/>
  </sheets>
  <definedNames>
    <definedName name="Depart">'Arithmatic Functions'!$H$7:$H$44</definedName>
    <definedName name="Gender">'Arithmatic Functions'!$F$7:$F$44</definedName>
    <definedName name="Reg">'Arithmatic Functions'!$I$7:$I$44</definedName>
    <definedName name="Salary">'Arithmatic Functions'!$J$7:$J$44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" i="1"/>
  <c r="N36"/>
  <c r="N37"/>
  <c r="N38"/>
  <c r="N39"/>
  <c r="N40"/>
  <c r="N41"/>
  <c r="N42"/>
  <c r="N43"/>
  <c r="N44"/>
  <c r="N34"/>
  <c r="O35"/>
  <c r="O36"/>
  <c r="O37"/>
  <c r="O38"/>
  <c r="O39"/>
  <c r="O40"/>
  <c r="O41"/>
  <c r="O42"/>
  <c r="O43"/>
  <c r="O44"/>
  <c r="O34"/>
  <c r="Q34"/>
  <c r="Q35"/>
  <c r="Q36"/>
  <c r="Q37"/>
  <c r="Q38"/>
  <c r="Q39"/>
  <c r="Q40"/>
  <c r="Q41"/>
  <c r="Q42"/>
  <c r="Q43"/>
  <c r="Q44"/>
  <c r="P35"/>
  <c r="P36"/>
  <c r="P37"/>
  <c r="P38"/>
  <c r="P39"/>
  <c r="P40"/>
  <c r="P41"/>
  <c r="P42"/>
  <c r="P43"/>
  <c r="P44"/>
  <c r="P34"/>
  <c r="Q20"/>
  <c r="Q21"/>
  <c r="Q22"/>
  <c r="Q23"/>
  <c r="Q24"/>
  <c r="Q25"/>
  <c r="Q26"/>
  <c r="Q27"/>
  <c r="Q28"/>
  <c r="Q29"/>
  <c r="Q30"/>
  <c r="P20"/>
  <c r="P21"/>
  <c r="P22"/>
  <c r="P23"/>
  <c r="P24"/>
  <c r="P25"/>
  <c r="P26"/>
  <c r="P27"/>
  <c r="P28"/>
  <c r="P29"/>
  <c r="P30"/>
  <c r="O20"/>
  <c r="O21"/>
  <c r="O22"/>
  <c r="O23"/>
  <c r="O24"/>
  <c r="O25"/>
  <c r="O26"/>
  <c r="O27"/>
  <c r="O28"/>
  <c r="O29"/>
  <c r="O30"/>
  <c r="N21"/>
  <c r="N22"/>
  <c r="N23"/>
  <c r="N24"/>
  <c r="N25"/>
  <c r="N26"/>
  <c r="N27"/>
  <c r="N28"/>
  <c r="N29"/>
  <c r="N30"/>
  <c r="N20"/>
  <c r="N16"/>
  <c r="N15"/>
  <c r="N14"/>
  <c r="N13"/>
  <c r="N12"/>
  <c r="N11"/>
  <c r="N8"/>
  <c r="N7"/>
  <c r="N6"/>
  <c r="N5"/>
  <c r="N4"/>
  <c r="N3"/>
  <c r="O10" i="2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9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9"/>
</calcChain>
</file>

<file path=xl/sharedStrings.xml><?xml version="1.0" encoding="utf-8"?>
<sst xmlns="http://schemas.openxmlformats.org/spreadsheetml/2006/main" count="534" uniqueCount="125">
  <si>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</si>
  <si>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</si>
  <si>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</si>
  <si>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</si>
  <si>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</si>
  <si>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Median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</si>
  <si>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</si>
  <si>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</si>
  <si>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</si>
  <si>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</si>
  <si>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</si>
  <si>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</si>
  <si>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</si>
  <si>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</si>
  <si>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</si>
  <si>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</si>
  <si>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</si>
  <si>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</si>
  <si>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</si>
  <si>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</si>
  <si>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</si>
  <si>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</si>
  <si>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</si>
  <si>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</si>
  <si>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</si>
  <si>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</si>
  <si>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</si>
  <si>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</si>
  <si>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</si>
  <si>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</si>
  <si>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</si>
  <si>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</si>
  <si>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</si>
  <si>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</si>
  <si>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</si>
  <si>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</si>
  <si>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</si>
  <si>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</si>
  <si>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</si>
  <si>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of males</t>
  </si>
  <si>
    <t>Dedhia</t>
  </si>
  <si>
    <t>Director</t>
  </si>
  <si>
    <t>total number of females</t>
  </si>
  <si>
    <t>Dattatray</t>
  </si>
  <si>
    <t>Desai</t>
  </si>
  <si>
    <t>Learning &amp; Development</t>
  </si>
  <si>
    <t>Mid West</t>
  </si>
  <si>
    <t>Total number Employees working in North</t>
  </si>
  <si>
    <t>Vishnu</t>
  </si>
  <si>
    <t>Average Salary Paid to Sales Departement of North Region</t>
  </si>
  <si>
    <t>Dinesh</t>
  </si>
  <si>
    <t>Dhanuka</t>
  </si>
  <si>
    <t>East</t>
  </si>
  <si>
    <t>Max Salary paid in Digital Marketing</t>
  </si>
  <si>
    <t>Heena</t>
  </si>
  <si>
    <t>Dongre</t>
  </si>
  <si>
    <t>Min Salary paid in South Region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</si>
  <si>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</si>
  <si>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</si>
  <si>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</si>
  <si>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</si>
  <si>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</si>
  <si>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</si>
  <si>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</si>
  <si>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</si>
  <si>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</si>
  <si>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</si>
  <si>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</si>
  <si>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</si>
  <si>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</si>
  <si>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</si>
  <si>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</si>
  <si>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</si>
  <si>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</si>
  <si>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</si>
  <si>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</si>
  <si>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</si>
  <si>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</si>
  <si>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</si>
  <si>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</si>
  <si>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</si>
  <si>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</si>
  <si>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</si>
  <si>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</si>
  <si>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</si>
  <si>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</si>
  <si>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</si>
  <si>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</si>
  <si>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</si>
  <si>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</si>
  <si>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</si>
  <si>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</si>
  <si>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</si>
  <si>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</si>
  <si>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</si>
  <si>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</si>
  <si>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</si>
  <si>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</si>
  <si>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</si>
  <si>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</si>
  <si>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</si>
  <si>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</si>
  <si>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</si>
  <si>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</si>
  <si>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</si>
  <si>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</si>
  <si>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</si>
  <si>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</si>
  <si>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</si>
  <si>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</si>
  <si>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</si>
  <si>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</si>
  <si>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</si>
  <si>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 &amp; Departmentwise Report</t>
  </si>
  <si>
    <t>Region &amp; Departmentwise Salary</t>
  </si>
  <si>
    <t>Calculate HRA at 45% of Basic salary</t>
  </si>
  <si>
    <t>Give Annual Bonus as 1000 Gift Voucher plus 5% of Basic salary</t>
  </si>
  <si>
    <t>Calcualte Gross Salary</t>
  </si>
  <si>
    <t>Calculate professional tax at 5%</t>
  </si>
  <si>
    <t>Calcualte Net Salary</t>
  </si>
  <si>
    <t>HRA</t>
  </si>
  <si>
    <t>ANNUAL BONUS</t>
  </si>
  <si>
    <t>GROSS SALARY</t>
  </si>
  <si>
    <t>PROFESSIONAL TAX</t>
  </si>
  <si>
    <t>NET SALARY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</si>
</sst>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1" fontId="4" fillId="0" borderId="3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4" xfId="0" applyFont="1" applyBorder="1"/>
    <xf numFmtId="0" fontId="4" fillId="0" borderId="1" xfId="0" applyFont="1" applyBorder="1"/>
    <xf numFmtId="0" fontId="0" fillId="0" borderId="5" xfId="0" applyBorder="1"/>
    <xf numFmtId="0" fontId="4" fillId="0" borderId="6" xfId="0" applyFont="1" applyBorder="1"/>
    <xf numFmtId="0" fontId="3" fillId="0" borderId="5" xfId="0" applyFont="1" applyBorder="1"/>
    <xf numFmtId="0" fontId="4" fillId="0" borderId="5" xfId="0" quotePrefix="1" applyFont="1" applyBorder="1"/>
    <xf numFmtId="0" fontId="4" fillId="0" borderId="5" xfId="0" applyFont="1" applyBorder="1"/>
    <xf numFmtId="0" fontId="6" fillId="0" borderId="0" xfId="0" applyFont="1"/>
    <xf numFmtId="0" fontId="5" fillId="0" borderId="5" xfId="0" applyFont="1" applyBorder="1"/>
    <xf numFmtId="0" fontId="6" fillId="0" borderId="5" xfId="0" applyFont="1" applyBorder="1"/>
    <xf numFmtId="0" fontId="0" fillId="0" borderId="5" xfId="0" quotePrefix="1" applyBorder="1" applyAlignment="1">
      <alignment horizontal="center"/>
    </xf>
    <xf numFmtId="0" fontId="0" fillId="0" borderId="5" xfId="0" quotePrefix="1" applyBorder="1"/>
    <xf numFmtId="15" fontId="0" fillId="0" borderId="5" xfId="0" applyNumberForma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Q44"/>
  <sheetViews>
    <sheetView tabSelected="1" topLeftCell="A2" zoomScale="70" zoomScaleNormal="70" workbookViewId="0">
      <selection activeCell="B6" sqref="B6:J44"/>
    </sheetView>
  </sheetViews>
  <sheetFormatPr defaultColWidth="14.44140625" defaultRowHeight="14.4"/>
  <cols>
    <col min="1" max="1" width="8.6640625" customWidth="1"/>
    <col min="2" max="2" width="7.44140625" bestFit="1" customWidth="1"/>
    <col min="3" max="4" width="13.33203125" bestFit="1" customWidth="1"/>
    <col min="5" max="5" width="10" bestFit="1" customWidth="1"/>
    <col min="6" max="6" width="7.33203125" bestFit="1" customWidth="1"/>
    <col min="7" max="7" width="9" bestFit="1" customWidth="1"/>
    <col min="8" max="8" width="21.5546875" bestFit="1" customWidth="1"/>
    <col min="9" max="9" width="8.6640625" bestFit="1" customWidth="1"/>
    <col min="10" max="10" width="10.6640625" bestFit="1" customWidth="1"/>
    <col min="11" max="12" width="8.6640625" customWidth="1"/>
    <col min="13" max="13" width="49.5546875" bestFit="1" customWidth="1"/>
    <col min="14" max="16" width="8.33203125" customWidth="1"/>
    <col min="17" max="17" width="9" customWidth="1"/>
    <col min="18" max="26" width="8.6640625" customWidth="1"/>
  </cols>
  <sheetData>
    <row r="2" spans="2:14">
      <c r="C2" s="26" t="s">
        <v>0</v>
      </c>
      <c r="D2" s="26"/>
      <c r="E2" s="26"/>
      <c r="F2" s="26"/>
      <c r="G2" s="26"/>
      <c r="H2" s="26"/>
      <c r="I2" s="26"/>
      <c r="J2" s="26"/>
      <c r="M2" s="27" t="s">
        <v>1</v>
      </c>
      <c r="N2" s="28"/>
    </row>
    <row r="3" spans="2:14">
      <c r="C3" s="26" t="s">
        <v>2</v>
      </c>
      <c r="D3" s="26"/>
      <c r="E3" s="26"/>
      <c r="F3" s="26"/>
      <c r="G3" s="26"/>
      <c r="H3" s="26"/>
      <c r="I3" s="26"/>
      <c r="J3" s="26"/>
      <c r="M3" s="1" t="s">
        <v>3</v>
      </c>
      <c r="N3" s="2">
        <f>SUM(Salary)</f>
        <v>1824000</v>
      </c>
    </row>
    <row r="4" spans="2:14">
      <c r="M4" s="1" t="s">
        <v>4</v>
      </c>
      <c r="N4" s="3">
        <f>AVERAGE(Salary)</f>
        <v>48000</v>
      </c>
    </row>
    <row r="5" spans="2:14">
      <c r="M5" s="1" t="s">
        <v>5</v>
      </c>
      <c r="N5" s="2">
        <f>MEDIAN(Salary)</f>
        <v>48000</v>
      </c>
    </row>
    <row r="6" spans="2:14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M6" s="1" t="s">
        <v>15</v>
      </c>
      <c r="N6" s="2">
        <f>COUNTA(Salary)</f>
        <v>38</v>
      </c>
    </row>
    <row r="7" spans="2:14">
      <c r="B7" s="4">
        <v>150834</v>
      </c>
      <c r="C7" s="5" t="s">
        <v>16</v>
      </c>
      <c r="D7" s="5" t="s">
        <v>17</v>
      </c>
      <c r="E7" s="6">
        <v>31199</v>
      </c>
      <c r="F7" s="7" t="s">
        <v>18</v>
      </c>
      <c r="G7" s="5" t="s">
        <v>19</v>
      </c>
      <c r="H7" s="5" t="s">
        <v>20</v>
      </c>
      <c r="I7" s="5" t="s">
        <v>21</v>
      </c>
      <c r="J7" s="2">
        <v>48000</v>
      </c>
      <c r="M7" s="1" t="s">
        <v>22</v>
      </c>
      <c r="N7" s="2">
        <f>MAX(Salary)</f>
        <v>48000</v>
      </c>
    </row>
    <row r="8" spans="2:14">
      <c r="B8" s="4">
        <v>150784</v>
      </c>
      <c r="C8" s="5" t="s">
        <v>23</v>
      </c>
      <c r="D8" s="5" t="s">
        <v>24</v>
      </c>
      <c r="E8" s="6">
        <v>31200</v>
      </c>
      <c r="F8" s="7" t="s">
        <v>18</v>
      </c>
      <c r="G8" s="5" t="s">
        <v>19</v>
      </c>
      <c r="H8" s="5" t="s">
        <v>20</v>
      </c>
      <c r="I8" s="5" t="s">
        <v>21</v>
      </c>
      <c r="J8" s="2">
        <v>48000</v>
      </c>
      <c r="M8" s="1" t="s">
        <v>27</v>
      </c>
      <c r="N8" s="2">
        <f>MIN(Salary)</f>
        <v>48000</v>
      </c>
    </row>
    <row r="9" spans="2:14">
      <c r="B9" s="4">
        <v>150791</v>
      </c>
      <c r="C9" s="5" t="s">
        <v>28</v>
      </c>
      <c r="D9" s="5" t="s">
        <v>29</v>
      </c>
      <c r="E9" s="6">
        <v>31201</v>
      </c>
      <c r="F9" s="7" t="s">
        <v>18</v>
      </c>
      <c r="G9" s="5" t="s">
        <v>19</v>
      </c>
      <c r="H9" s="5" t="s">
        <v>20</v>
      </c>
      <c r="I9" s="5" t="s">
        <v>21</v>
      </c>
      <c r="J9" s="2">
        <v>48000</v>
      </c>
    </row>
    <row r="10" spans="2:14">
      <c r="B10" s="4">
        <v>150940</v>
      </c>
      <c r="C10" s="5" t="s">
        <v>30</v>
      </c>
      <c r="D10" s="5" t="s">
        <v>31</v>
      </c>
      <c r="E10" s="6">
        <v>31202</v>
      </c>
      <c r="F10" s="7" t="s">
        <v>18</v>
      </c>
      <c r="G10" s="5" t="s">
        <v>19</v>
      </c>
      <c r="H10" s="5" t="s">
        <v>20</v>
      </c>
      <c r="I10" s="5" t="s">
        <v>21</v>
      </c>
      <c r="J10" s="2">
        <v>48000</v>
      </c>
      <c r="M10" s="27" t="s">
        <v>35</v>
      </c>
      <c r="N10" s="28"/>
    </row>
    <row r="11" spans="2:14">
      <c r="B11" s="4">
        <v>150777</v>
      </c>
      <c r="C11" s="5" t="s">
        <v>36</v>
      </c>
      <c r="D11" s="5" t="s">
        <v>37</v>
      </c>
      <c r="E11" s="6">
        <v>31203</v>
      </c>
      <c r="F11" s="7" t="s">
        <v>18</v>
      </c>
      <c r="G11" s="5" t="s">
        <v>19</v>
      </c>
      <c r="H11" s="5" t="s">
        <v>20</v>
      </c>
      <c r="I11" s="5" t="s">
        <v>21</v>
      </c>
      <c r="J11" s="2">
        <v>48000</v>
      </c>
      <c r="M11" s="2" t="s">
        <v>39</v>
      </c>
      <c r="N11" s="2">
        <f>COUNTIF(Gender,"Male")</f>
        <v>0</v>
      </c>
    </row>
    <row r="12" spans="2:14">
      <c r="B12" s="4">
        <v>150805</v>
      </c>
      <c r="C12" s="5" t="s">
        <v>28</v>
      </c>
      <c r="D12" s="5" t="s">
        <v>40</v>
      </c>
      <c r="E12" s="6">
        <v>31204</v>
      </c>
      <c r="F12" s="7" t="s">
        <v>18</v>
      </c>
      <c r="G12" s="5" t="s">
        <v>19</v>
      </c>
      <c r="H12" s="5" t="s">
        <v>20</v>
      </c>
      <c r="I12" s="5" t="s">
        <v>21</v>
      </c>
      <c r="J12" s="2">
        <v>48000</v>
      </c>
      <c r="M12" s="2" t="s">
        <v>42</v>
      </c>
      <c r="N12" s="2">
        <f>COUNTIF(Gender,"Female")</f>
        <v>38</v>
      </c>
    </row>
    <row r="13" spans="2:14">
      <c r="B13" s="4">
        <v>150990</v>
      </c>
      <c r="C13" s="5" t="s">
        <v>43</v>
      </c>
      <c r="D13" s="5" t="s">
        <v>44</v>
      </c>
      <c r="E13" s="6">
        <v>31205</v>
      </c>
      <c r="F13" s="7" t="s">
        <v>18</v>
      </c>
      <c r="G13" s="5" t="s">
        <v>19</v>
      </c>
      <c r="H13" s="5" t="s">
        <v>20</v>
      </c>
      <c r="I13" s="5" t="s">
        <v>21</v>
      </c>
      <c r="J13" s="2">
        <v>48000</v>
      </c>
      <c r="M13" s="2" t="s">
        <v>47</v>
      </c>
      <c r="N13" s="8">
        <f>COUNTIF(Reg,"North")</f>
        <v>38</v>
      </c>
    </row>
    <row r="14" spans="2:14">
      <c r="B14" s="4">
        <v>150989</v>
      </c>
      <c r="C14" s="5" t="s">
        <v>48</v>
      </c>
      <c r="D14" s="5" t="s">
        <v>44</v>
      </c>
      <c r="E14" s="6">
        <v>31206</v>
      </c>
      <c r="F14" s="7" t="s">
        <v>18</v>
      </c>
      <c r="G14" s="5" t="s">
        <v>19</v>
      </c>
      <c r="H14" s="5" t="s">
        <v>20</v>
      </c>
      <c r="I14" s="5" t="s">
        <v>21</v>
      </c>
      <c r="J14" s="2">
        <v>48000</v>
      </c>
      <c r="M14" s="9" t="s">
        <v>49</v>
      </c>
      <c r="N14" s="10">
        <f>COUNTIFS(Depart,"Sales", Reg,"North")</f>
        <v>0</v>
      </c>
    </row>
    <row r="15" spans="2:14">
      <c r="B15" s="4">
        <v>150881</v>
      </c>
      <c r="C15" s="5" t="s">
        <v>50</v>
      </c>
      <c r="D15" s="5" t="s">
        <v>51</v>
      </c>
      <c r="E15" s="6">
        <v>31207</v>
      </c>
      <c r="F15" s="7" t="s">
        <v>18</v>
      </c>
      <c r="G15" s="5" t="s">
        <v>19</v>
      </c>
      <c r="H15" s="5" t="s">
        <v>20</v>
      </c>
      <c r="I15" s="5" t="s">
        <v>21</v>
      </c>
      <c r="J15" s="2">
        <v>48000</v>
      </c>
      <c r="M15" s="2" t="s">
        <v>53</v>
      </c>
      <c r="N15" s="11">
        <f>MAX(IF(H7:H44="Digital Marketing", J7:J44))</f>
        <v>0</v>
      </c>
    </row>
    <row r="16" spans="2:14">
      <c r="B16" s="4">
        <v>150814</v>
      </c>
      <c r="C16" s="5" t="s">
        <v>54</v>
      </c>
      <c r="D16" s="5" t="s">
        <v>55</v>
      </c>
      <c r="E16" s="6">
        <v>31208</v>
      </c>
      <c r="F16" s="7" t="s">
        <v>18</v>
      </c>
      <c r="G16" s="5" t="s">
        <v>19</v>
      </c>
      <c r="H16" s="5" t="s">
        <v>20</v>
      </c>
      <c r="I16" s="5" t="s">
        <v>21</v>
      </c>
      <c r="J16" s="2">
        <v>48000</v>
      </c>
      <c r="M16" s="9" t="s">
        <v>56</v>
      </c>
      <c r="N16" s="10">
        <f>MIN(IF(I7:I44="South", J7:J44))</f>
        <v>0</v>
      </c>
    </row>
    <row r="17" spans="2:17">
      <c r="B17" s="4">
        <v>150937</v>
      </c>
      <c r="C17" s="5" t="s">
        <v>57</v>
      </c>
      <c r="D17" s="5" t="s">
        <v>58</v>
      </c>
      <c r="E17" s="6">
        <v>31209</v>
      </c>
      <c r="F17" s="7" t="s">
        <v>18</v>
      </c>
      <c r="G17" s="5" t="s">
        <v>19</v>
      </c>
      <c r="H17" s="5" t="s">
        <v>20</v>
      </c>
      <c r="I17" s="5" t="s">
        <v>21</v>
      </c>
      <c r="J17" s="2">
        <v>48000</v>
      </c>
    </row>
    <row r="18" spans="2:17">
      <c r="B18" s="4">
        <v>150888</v>
      </c>
      <c r="C18" s="5" t="s">
        <v>59</v>
      </c>
      <c r="D18" s="5" t="s">
        <v>60</v>
      </c>
      <c r="E18" s="6">
        <v>31210</v>
      </c>
      <c r="F18" s="7" t="s">
        <v>18</v>
      </c>
      <c r="G18" s="5" t="s">
        <v>19</v>
      </c>
      <c r="H18" s="5" t="s">
        <v>20</v>
      </c>
      <c r="I18" s="5" t="s">
        <v>21</v>
      </c>
      <c r="J18" s="2">
        <v>48000</v>
      </c>
      <c r="M18" s="23" t="s">
        <v>113</v>
      </c>
      <c r="N18" s="24"/>
      <c r="O18" s="24"/>
      <c r="P18" s="24"/>
      <c r="Q18" s="25"/>
    </row>
    <row r="19" spans="2:17">
      <c r="B19" s="4">
        <v>150865</v>
      </c>
      <c r="C19" s="5" t="s">
        <v>61</v>
      </c>
      <c r="D19" s="5" t="s">
        <v>60</v>
      </c>
      <c r="E19" s="6">
        <v>31211</v>
      </c>
      <c r="F19" s="7" t="s">
        <v>18</v>
      </c>
      <c r="G19" s="5" t="s">
        <v>19</v>
      </c>
      <c r="H19" s="5" t="s">
        <v>20</v>
      </c>
      <c r="I19" s="5" t="s">
        <v>21</v>
      </c>
      <c r="J19" s="2">
        <v>48000</v>
      </c>
      <c r="M19" s="12" t="s">
        <v>68</v>
      </c>
      <c r="N19" s="12" t="s">
        <v>21</v>
      </c>
      <c r="O19" s="12" t="s">
        <v>34</v>
      </c>
      <c r="P19" s="12" t="s">
        <v>52</v>
      </c>
      <c r="Q19" s="12" t="s">
        <v>46</v>
      </c>
    </row>
    <row r="20" spans="2:17">
      <c r="B20" s="4">
        <v>150858</v>
      </c>
      <c r="C20" s="5" t="s">
        <v>63</v>
      </c>
      <c r="D20" s="5" t="s">
        <v>64</v>
      </c>
      <c r="E20" s="6">
        <v>31212</v>
      </c>
      <c r="F20" s="7" t="s">
        <v>18</v>
      </c>
      <c r="G20" s="5" t="s">
        <v>19</v>
      </c>
      <c r="H20" s="5" t="s">
        <v>20</v>
      </c>
      <c r="I20" s="5" t="s">
        <v>21</v>
      </c>
      <c r="J20" s="2">
        <v>48000</v>
      </c>
      <c r="M20" s="13" t="s">
        <v>20</v>
      </c>
      <c r="N20" s="14">
        <f>COUNTIFS($H$7:$H$44,$M20,$I$7:$I$44,N$19)</f>
        <v>38</v>
      </c>
      <c r="O20" s="14">
        <f>COUNTIFS($H$7:$H$44,$M20,$I$7:$I$44,"South")</f>
        <v>0</v>
      </c>
      <c r="P20" s="14">
        <f>COUNTIFS($H$7:$H$44,$M20,$I$7:$I$44,"East")</f>
        <v>0</v>
      </c>
      <c r="Q20" s="14">
        <f>COUNTIFS($H$7:$H$44,$M20,$I$7:$I$44,"Mid West")</f>
        <v>0</v>
      </c>
    </row>
    <row r="21" spans="2:17" ht="15" customHeight="1">
      <c r="B21" s="4">
        <v>150930</v>
      </c>
      <c r="C21" s="5" t="s">
        <v>66</v>
      </c>
      <c r="D21" s="5" t="s">
        <v>67</v>
      </c>
      <c r="E21" s="6">
        <v>31213</v>
      </c>
      <c r="F21" s="7" t="s">
        <v>18</v>
      </c>
      <c r="G21" s="5" t="s">
        <v>19</v>
      </c>
      <c r="H21" s="5" t="s">
        <v>20</v>
      </c>
      <c r="I21" s="5" t="s">
        <v>21</v>
      </c>
      <c r="J21" s="2">
        <v>48000</v>
      </c>
      <c r="M21" s="13" t="s">
        <v>26</v>
      </c>
      <c r="N21" s="14">
        <f t="shared" ref="N21:N30" si="0">COUNTIFS($H$7:$H$44,$M21,$I$7:$I$44,N$19)</f>
        <v>0</v>
      </c>
      <c r="O21" s="14">
        <f t="shared" ref="O21:O30" si="1">COUNTIFS($H$7:$H$44,$M21,$I$7:$I$44,"South")</f>
        <v>0</v>
      </c>
      <c r="P21" s="14">
        <f t="shared" ref="P21:P30" si="2">COUNTIFS($H$7:$H$44,$M21,$I$7:$I$44,"East")</f>
        <v>0</v>
      </c>
      <c r="Q21" s="14">
        <f t="shared" ref="Q21:Q30" si="3">COUNTIFS($H$7:$H$44,$M21,$I$7:$I$44,"Mid West")</f>
        <v>0</v>
      </c>
    </row>
    <row r="22" spans="2:17">
      <c r="B22" s="4">
        <v>150894</v>
      </c>
      <c r="C22" s="5" t="s">
        <v>69</v>
      </c>
      <c r="D22" s="5" t="s">
        <v>70</v>
      </c>
      <c r="E22" s="6">
        <v>31214</v>
      </c>
      <c r="F22" s="7" t="s">
        <v>18</v>
      </c>
      <c r="G22" s="5" t="s">
        <v>19</v>
      </c>
      <c r="H22" s="5" t="s">
        <v>20</v>
      </c>
      <c r="I22" s="5" t="s">
        <v>21</v>
      </c>
      <c r="J22" s="2">
        <v>48000</v>
      </c>
      <c r="M22" s="13" t="s">
        <v>33</v>
      </c>
      <c r="N22" s="14">
        <f t="shared" si="0"/>
        <v>0</v>
      </c>
      <c r="O22" s="14">
        <f t="shared" si="1"/>
        <v>0</v>
      </c>
      <c r="P22" s="14">
        <f t="shared" si="2"/>
        <v>0</v>
      </c>
      <c r="Q22" s="14">
        <f t="shared" si="3"/>
        <v>0</v>
      </c>
    </row>
    <row r="23" spans="2:17">
      <c r="B23" s="4">
        <v>150947</v>
      </c>
      <c r="C23" s="5" t="s">
        <v>71</v>
      </c>
      <c r="D23" s="5" t="s">
        <v>72</v>
      </c>
      <c r="E23" s="6">
        <v>31215</v>
      </c>
      <c r="F23" s="7" t="s">
        <v>18</v>
      </c>
      <c r="G23" s="5" t="s">
        <v>19</v>
      </c>
      <c r="H23" s="5" t="s">
        <v>20</v>
      </c>
      <c r="I23" s="5" t="s">
        <v>21</v>
      </c>
      <c r="J23" s="2">
        <v>48000</v>
      </c>
      <c r="M23" s="13" t="s">
        <v>38</v>
      </c>
      <c r="N23" s="14">
        <f t="shared" si="0"/>
        <v>0</v>
      </c>
      <c r="O23" s="14">
        <f t="shared" si="1"/>
        <v>0</v>
      </c>
      <c r="P23" s="14">
        <f t="shared" si="2"/>
        <v>0</v>
      </c>
      <c r="Q23" s="14">
        <f t="shared" si="3"/>
        <v>0</v>
      </c>
    </row>
    <row r="24" spans="2:17">
      <c r="B24" s="4">
        <v>150905</v>
      </c>
      <c r="C24" s="5" t="s">
        <v>73</v>
      </c>
      <c r="D24" s="5" t="s">
        <v>74</v>
      </c>
      <c r="E24" s="6">
        <v>31216</v>
      </c>
      <c r="F24" s="7" t="s">
        <v>18</v>
      </c>
      <c r="G24" s="5" t="s">
        <v>19</v>
      </c>
      <c r="H24" s="5" t="s">
        <v>20</v>
      </c>
      <c r="I24" s="5" t="s">
        <v>21</v>
      </c>
      <c r="J24" s="2">
        <v>48000</v>
      </c>
      <c r="M24" s="13" t="s">
        <v>41</v>
      </c>
      <c r="N24" s="14">
        <f t="shared" si="0"/>
        <v>0</v>
      </c>
      <c r="O24" s="14">
        <f t="shared" si="1"/>
        <v>0</v>
      </c>
      <c r="P24" s="14">
        <f t="shared" si="2"/>
        <v>0</v>
      </c>
      <c r="Q24" s="14">
        <f t="shared" si="3"/>
        <v>0</v>
      </c>
    </row>
    <row r="25" spans="2:17">
      <c r="B25" s="4">
        <v>150995</v>
      </c>
      <c r="C25" s="5" t="s">
        <v>75</v>
      </c>
      <c r="D25" s="5" t="s">
        <v>76</v>
      </c>
      <c r="E25" s="6">
        <v>31217</v>
      </c>
      <c r="F25" s="7" t="s">
        <v>18</v>
      </c>
      <c r="G25" s="5" t="s">
        <v>19</v>
      </c>
      <c r="H25" s="5" t="s">
        <v>20</v>
      </c>
      <c r="I25" s="5" t="s">
        <v>21</v>
      </c>
      <c r="J25" s="2">
        <v>48000</v>
      </c>
      <c r="M25" s="13" t="s">
        <v>45</v>
      </c>
      <c r="N25" s="14">
        <f t="shared" si="0"/>
        <v>0</v>
      </c>
      <c r="O25" s="14">
        <f t="shared" si="1"/>
        <v>0</v>
      </c>
      <c r="P25" s="14">
        <f t="shared" si="2"/>
        <v>0</v>
      </c>
      <c r="Q25" s="14">
        <f t="shared" si="3"/>
        <v>0</v>
      </c>
    </row>
    <row r="26" spans="2:17">
      <c r="B26" s="4">
        <v>150912</v>
      </c>
      <c r="C26" s="5" t="s">
        <v>77</v>
      </c>
      <c r="D26" s="5" t="s">
        <v>78</v>
      </c>
      <c r="E26" s="6">
        <v>31218</v>
      </c>
      <c r="F26" s="7" t="s">
        <v>18</v>
      </c>
      <c r="G26" s="5" t="s">
        <v>19</v>
      </c>
      <c r="H26" s="5" t="s">
        <v>20</v>
      </c>
      <c r="I26" s="5" t="s">
        <v>21</v>
      </c>
      <c r="J26" s="2">
        <v>48000</v>
      </c>
      <c r="M26" s="13" t="s">
        <v>62</v>
      </c>
      <c r="N26" s="14">
        <f t="shared" si="0"/>
        <v>0</v>
      </c>
      <c r="O26" s="14">
        <f t="shared" si="1"/>
        <v>0</v>
      </c>
      <c r="P26" s="14">
        <f t="shared" si="2"/>
        <v>0</v>
      </c>
      <c r="Q26" s="14">
        <f t="shared" si="3"/>
        <v>0</v>
      </c>
    </row>
    <row r="27" spans="2:17">
      <c r="B27" s="4">
        <v>150921</v>
      </c>
      <c r="C27" s="5" t="s">
        <v>80</v>
      </c>
      <c r="D27" s="5" t="s">
        <v>81</v>
      </c>
      <c r="E27" s="6">
        <v>31219</v>
      </c>
      <c r="F27" s="7" t="s">
        <v>18</v>
      </c>
      <c r="G27" s="5" t="s">
        <v>19</v>
      </c>
      <c r="H27" s="5" t="s">
        <v>20</v>
      </c>
      <c r="I27" s="5" t="s">
        <v>21</v>
      </c>
      <c r="J27" s="2">
        <v>48000</v>
      </c>
      <c r="M27" s="13" t="s">
        <v>65</v>
      </c>
      <c r="N27" s="14">
        <f t="shared" si="0"/>
        <v>0</v>
      </c>
      <c r="O27" s="14">
        <f t="shared" si="1"/>
        <v>0</v>
      </c>
      <c r="P27" s="14">
        <f t="shared" si="2"/>
        <v>0</v>
      </c>
      <c r="Q27" s="14">
        <f t="shared" si="3"/>
        <v>0</v>
      </c>
    </row>
    <row r="28" spans="2:17">
      <c r="B28" s="4">
        <v>150851</v>
      </c>
      <c r="C28" s="5" t="s">
        <v>83</v>
      </c>
      <c r="D28" s="5" t="s">
        <v>84</v>
      </c>
      <c r="E28" s="6">
        <v>31220</v>
      </c>
      <c r="F28" s="7" t="s">
        <v>18</v>
      </c>
      <c r="G28" s="5" t="s">
        <v>19</v>
      </c>
      <c r="H28" s="5" t="s">
        <v>20</v>
      </c>
      <c r="I28" s="5" t="s">
        <v>21</v>
      </c>
      <c r="J28" s="2">
        <v>48000</v>
      </c>
      <c r="M28" s="13" t="s">
        <v>79</v>
      </c>
      <c r="N28" s="14">
        <f t="shared" si="0"/>
        <v>0</v>
      </c>
      <c r="O28" s="14">
        <f t="shared" si="1"/>
        <v>0</v>
      </c>
      <c r="P28" s="14">
        <f t="shared" si="2"/>
        <v>0</v>
      </c>
      <c r="Q28" s="14">
        <f t="shared" si="3"/>
        <v>0</v>
      </c>
    </row>
    <row r="29" spans="2:17">
      <c r="B29" s="4">
        <v>150867</v>
      </c>
      <c r="C29" s="5" t="s">
        <v>85</v>
      </c>
      <c r="D29" s="5" t="s">
        <v>86</v>
      </c>
      <c r="E29" s="6">
        <v>31221</v>
      </c>
      <c r="F29" s="7" t="s">
        <v>18</v>
      </c>
      <c r="G29" s="5" t="s">
        <v>19</v>
      </c>
      <c r="H29" s="5" t="s">
        <v>20</v>
      </c>
      <c r="I29" s="5" t="s">
        <v>21</v>
      </c>
      <c r="J29" s="2">
        <v>48000</v>
      </c>
      <c r="M29" s="13" t="s">
        <v>82</v>
      </c>
      <c r="N29" s="14">
        <f t="shared" si="0"/>
        <v>0</v>
      </c>
      <c r="O29" s="14">
        <f t="shared" si="1"/>
        <v>0</v>
      </c>
      <c r="P29" s="14">
        <f t="shared" si="2"/>
        <v>0</v>
      </c>
      <c r="Q29" s="14">
        <f t="shared" si="3"/>
        <v>0</v>
      </c>
    </row>
    <row r="30" spans="2:17">
      <c r="B30" s="4">
        <v>150899</v>
      </c>
      <c r="C30" s="5" t="s">
        <v>87</v>
      </c>
      <c r="D30" s="5" t="s">
        <v>88</v>
      </c>
      <c r="E30" s="6">
        <v>31222</v>
      </c>
      <c r="F30" s="7" t="s">
        <v>18</v>
      </c>
      <c r="G30" s="5" t="s">
        <v>19</v>
      </c>
      <c r="H30" s="5" t="s">
        <v>20</v>
      </c>
      <c r="I30" s="5" t="s">
        <v>21</v>
      </c>
      <c r="J30" s="2">
        <v>48000</v>
      </c>
      <c r="M30" s="13" t="s">
        <v>93</v>
      </c>
      <c r="N30" s="14">
        <f t="shared" si="0"/>
        <v>0</v>
      </c>
      <c r="O30" s="14">
        <f t="shared" si="1"/>
        <v>0</v>
      </c>
      <c r="P30" s="14">
        <f t="shared" si="2"/>
        <v>0</v>
      </c>
      <c r="Q30" s="14">
        <f t="shared" si="3"/>
        <v>0</v>
      </c>
    </row>
    <row r="31" spans="2:17">
      <c r="B31" s="4">
        <v>150975</v>
      </c>
      <c r="C31" s="5" t="s">
        <v>89</v>
      </c>
      <c r="D31" s="5" t="s">
        <v>90</v>
      </c>
      <c r="E31" s="6">
        <v>31223</v>
      </c>
      <c r="F31" s="7" t="s">
        <v>18</v>
      </c>
      <c r="G31" s="5" t="s">
        <v>19</v>
      </c>
      <c r="H31" s="5" t="s">
        <v>20</v>
      </c>
      <c r="I31" s="5" t="s">
        <v>21</v>
      </c>
      <c r="J31" s="2">
        <v>48000</v>
      </c>
    </row>
    <row r="32" spans="2:17">
      <c r="B32" s="4">
        <v>150901</v>
      </c>
      <c r="C32" s="5" t="s">
        <v>91</v>
      </c>
      <c r="D32" s="5" t="s">
        <v>92</v>
      </c>
      <c r="E32" s="6">
        <v>31224</v>
      </c>
      <c r="F32" s="7" t="s">
        <v>18</v>
      </c>
      <c r="G32" s="5" t="s">
        <v>19</v>
      </c>
      <c r="H32" s="5" t="s">
        <v>20</v>
      </c>
      <c r="I32" s="5" t="s">
        <v>21</v>
      </c>
      <c r="J32" s="2">
        <v>48000</v>
      </c>
      <c r="M32" s="23" t="s">
        <v>114</v>
      </c>
      <c r="N32" s="24"/>
      <c r="O32" s="24"/>
      <c r="P32" s="24"/>
      <c r="Q32" s="25"/>
    </row>
    <row r="33" spans="2:17">
      <c r="B33" s="4">
        <v>150968</v>
      </c>
      <c r="C33" s="5" t="s">
        <v>94</v>
      </c>
      <c r="D33" s="5" t="s">
        <v>95</v>
      </c>
      <c r="E33" s="6">
        <v>31225</v>
      </c>
      <c r="F33" s="7" t="s">
        <v>18</v>
      </c>
      <c r="G33" s="5" t="s">
        <v>19</v>
      </c>
      <c r="H33" s="5" t="s">
        <v>20</v>
      </c>
      <c r="I33" s="5" t="s">
        <v>21</v>
      </c>
      <c r="J33" s="2">
        <v>48000</v>
      </c>
      <c r="M33" s="12" t="s">
        <v>68</v>
      </c>
      <c r="N33" s="12" t="s">
        <v>21</v>
      </c>
      <c r="O33" s="12" t="s">
        <v>34</v>
      </c>
      <c r="P33" s="12" t="s">
        <v>52</v>
      </c>
      <c r="Q33" s="12" t="s">
        <v>46</v>
      </c>
    </row>
    <row r="34" spans="2:17">
      <c r="B34" s="4">
        <v>150773</v>
      </c>
      <c r="C34" s="5" t="s">
        <v>96</v>
      </c>
      <c r="D34" s="5" t="s">
        <v>97</v>
      </c>
      <c r="E34" s="6">
        <v>31226</v>
      </c>
      <c r="F34" s="7" t="s">
        <v>18</v>
      </c>
      <c r="G34" s="5" t="s">
        <v>19</v>
      </c>
      <c r="H34" s="5" t="s">
        <v>20</v>
      </c>
      <c r="I34" s="5" t="s">
        <v>21</v>
      </c>
      <c r="J34" s="2">
        <v>48000</v>
      </c>
      <c r="M34" s="13" t="s">
        <v>20</v>
      </c>
      <c r="N34" s="14">
        <f>SUMIFS($J$7:$J$44,$H$7:$H$44,$M20,$I$7:$I$44,"North")</f>
        <v>1824000</v>
      </c>
      <c r="O34" s="14">
        <f>SUMIFS($J$7:$J$44,$H$7:$H$44,$M20,$I$7:$I$44,O$19)</f>
        <v>0</v>
      </c>
      <c r="P34" s="14">
        <f>SUMIFS($J$7:$J$44,$H$7:$H$44,$M20,$I$7:$I$44,"East")</f>
        <v>0</v>
      </c>
      <c r="Q34" s="14">
        <f>SUMIFS($J$7:$J$44,$H$7:$H$44,$M20,$I$7:$I$44,"Mid West")</f>
        <v>0</v>
      </c>
    </row>
    <row r="35" spans="2:17">
      <c r="B35" s="4">
        <v>150840</v>
      </c>
      <c r="C35" s="5" t="s">
        <v>66</v>
      </c>
      <c r="D35" s="5" t="s">
        <v>98</v>
      </c>
      <c r="E35" s="6">
        <v>31227</v>
      </c>
      <c r="F35" s="7" t="s">
        <v>18</v>
      </c>
      <c r="G35" s="5" t="s">
        <v>19</v>
      </c>
      <c r="H35" s="5" t="s">
        <v>20</v>
      </c>
      <c r="I35" s="5" t="s">
        <v>21</v>
      </c>
      <c r="J35" s="2">
        <v>48000</v>
      </c>
      <c r="M35" s="13" t="s">
        <v>26</v>
      </c>
      <c r="N35" s="14">
        <f t="shared" ref="N35:N44" si="4">SUMIFS($J$7:$J$44,$H$7:$H$44,$M21,$I$7:$I$44,"North")</f>
        <v>0</v>
      </c>
      <c r="O35" s="14">
        <f t="shared" ref="O35:O44" si="5">SUMIFS($J$7:$J$44,$H$7:$H$44,$M21,$I$7:$I$44,O$19)</f>
        <v>0</v>
      </c>
      <c r="P35" s="14">
        <f t="shared" ref="P35:P44" si="6">SUMIFS($J$7:$J$44,$H$7:$H$44,$M21,$I$7:$I$44,"East")</f>
        <v>0</v>
      </c>
      <c r="Q35" s="14">
        <f t="shared" ref="Q35:Q44" si="7">SUMIFS($J$7:$J$44,$H$7:$H$44,$M21,$I$7:$I$44,"Mid West")</f>
        <v>0</v>
      </c>
    </row>
    <row r="36" spans="2:17">
      <c r="B36" s="4">
        <v>150850</v>
      </c>
      <c r="C36" s="5" t="s">
        <v>57</v>
      </c>
      <c r="D36" s="5" t="s">
        <v>99</v>
      </c>
      <c r="E36" s="6">
        <v>31228</v>
      </c>
      <c r="F36" s="7" t="s">
        <v>18</v>
      </c>
      <c r="G36" s="5" t="s">
        <v>19</v>
      </c>
      <c r="H36" s="5" t="s">
        <v>20</v>
      </c>
      <c r="I36" s="5" t="s">
        <v>21</v>
      </c>
      <c r="J36" s="2">
        <v>48000</v>
      </c>
      <c r="M36" s="13" t="s">
        <v>33</v>
      </c>
      <c r="N36" s="14">
        <f t="shared" si="4"/>
        <v>0</v>
      </c>
      <c r="O36" s="14">
        <f t="shared" si="5"/>
        <v>0</v>
      </c>
      <c r="P36" s="14">
        <f t="shared" si="6"/>
        <v>0</v>
      </c>
      <c r="Q36" s="14">
        <f t="shared" si="7"/>
        <v>0</v>
      </c>
    </row>
    <row r="37" spans="2:17">
      <c r="B37" s="4">
        <v>150962</v>
      </c>
      <c r="C37" s="5" t="s">
        <v>100</v>
      </c>
      <c r="D37" s="5" t="s">
        <v>101</v>
      </c>
      <c r="E37" s="6">
        <v>31229</v>
      </c>
      <c r="F37" s="7" t="s">
        <v>18</v>
      </c>
      <c r="G37" s="5" t="s">
        <v>19</v>
      </c>
      <c r="H37" s="5" t="s">
        <v>20</v>
      </c>
      <c r="I37" s="5" t="s">
        <v>21</v>
      </c>
      <c r="J37" s="2">
        <v>48000</v>
      </c>
      <c r="M37" s="13" t="s">
        <v>38</v>
      </c>
      <c r="N37" s="14">
        <f t="shared" si="4"/>
        <v>0</v>
      </c>
      <c r="O37" s="14">
        <f t="shared" si="5"/>
        <v>0</v>
      </c>
      <c r="P37" s="14">
        <f t="shared" si="6"/>
        <v>0</v>
      </c>
      <c r="Q37" s="14">
        <f t="shared" si="7"/>
        <v>0</v>
      </c>
    </row>
    <row r="38" spans="2:17">
      <c r="B38" s="4">
        <v>150954</v>
      </c>
      <c r="C38" s="5" t="s">
        <v>102</v>
      </c>
      <c r="D38" s="5" t="s">
        <v>101</v>
      </c>
      <c r="E38" s="6">
        <v>31230</v>
      </c>
      <c r="F38" s="7" t="s">
        <v>18</v>
      </c>
      <c r="G38" s="5" t="s">
        <v>19</v>
      </c>
      <c r="H38" s="5" t="s">
        <v>20</v>
      </c>
      <c r="I38" s="5" t="s">
        <v>21</v>
      </c>
      <c r="J38" s="2">
        <v>48000</v>
      </c>
      <c r="M38" s="13" t="s">
        <v>41</v>
      </c>
      <c r="N38" s="14">
        <f t="shared" si="4"/>
        <v>0</v>
      </c>
      <c r="O38" s="14">
        <f t="shared" si="5"/>
        <v>0</v>
      </c>
      <c r="P38" s="14">
        <f t="shared" si="6"/>
        <v>0</v>
      </c>
      <c r="Q38" s="14">
        <f t="shared" si="7"/>
        <v>0</v>
      </c>
    </row>
    <row r="39" spans="2:17">
      <c r="B39" s="4">
        <v>150874</v>
      </c>
      <c r="C39" s="5" t="s">
        <v>103</v>
      </c>
      <c r="D39" s="5" t="s">
        <v>101</v>
      </c>
      <c r="E39" s="6">
        <v>31231</v>
      </c>
      <c r="F39" s="7" t="s">
        <v>18</v>
      </c>
      <c r="G39" s="5" t="s">
        <v>19</v>
      </c>
      <c r="H39" s="5" t="s">
        <v>20</v>
      </c>
      <c r="I39" s="5" t="s">
        <v>21</v>
      </c>
      <c r="J39" s="2">
        <v>48000</v>
      </c>
      <c r="M39" s="13" t="s">
        <v>45</v>
      </c>
      <c r="N39" s="14">
        <f t="shared" si="4"/>
        <v>0</v>
      </c>
      <c r="O39" s="14">
        <f t="shared" si="5"/>
        <v>0</v>
      </c>
      <c r="P39" s="14">
        <f t="shared" si="6"/>
        <v>0</v>
      </c>
      <c r="Q39" s="14">
        <f t="shared" si="7"/>
        <v>0</v>
      </c>
    </row>
    <row r="40" spans="2:17">
      <c r="B40" s="4">
        <v>150798</v>
      </c>
      <c r="C40" s="5" t="s">
        <v>104</v>
      </c>
      <c r="D40" s="5" t="s">
        <v>101</v>
      </c>
      <c r="E40" s="6">
        <v>31232</v>
      </c>
      <c r="F40" s="7" t="s">
        <v>18</v>
      </c>
      <c r="G40" s="5" t="s">
        <v>19</v>
      </c>
      <c r="H40" s="5" t="s">
        <v>20</v>
      </c>
      <c r="I40" s="5" t="s">
        <v>21</v>
      </c>
      <c r="J40" s="2">
        <v>48000</v>
      </c>
      <c r="M40" s="13" t="s">
        <v>62</v>
      </c>
      <c r="N40" s="14">
        <f t="shared" si="4"/>
        <v>0</v>
      </c>
      <c r="O40" s="14">
        <f t="shared" si="5"/>
        <v>0</v>
      </c>
      <c r="P40" s="14">
        <f t="shared" si="6"/>
        <v>0</v>
      </c>
      <c r="Q40" s="14">
        <f t="shared" si="7"/>
        <v>0</v>
      </c>
    </row>
    <row r="41" spans="2:17">
      <c r="B41" s="4">
        <v>150830</v>
      </c>
      <c r="C41" s="5" t="s">
        <v>105</v>
      </c>
      <c r="D41" s="5" t="s">
        <v>106</v>
      </c>
      <c r="E41" s="6">
        <v>31233</v>
      </c>
      <c r="F41" s="7" t="s">
        <v>18</v>
      </c>
      <c r="G41" s="5" t="s">
        <v>19</v>
      </c>
      <c r="H41" s="5" t="s">
        <v>20</v>
      </c>
      <c r="I41" s="5" t="s">
        <v>21</v>
      </c>
      <c r="J41" s="2">
        <v>48000</v>
      </c>
      <c r="M41" s="13" t="s">
        <v>65</v>
      </c>
      <c r="N41" s="14">
        <f t="shared" si="4"/>
        <v>0</v>
      </c>
      <c r="O41" s="14">
        <f t="shared" si="5"/>
        <v>0</v>
      </c>
      <c r="P41" s="14">
        <f t="shared" si="6"/>
        <v>0</v>
      </c>
      <c r="Q41" s="14">
        <f t="shared" si="7"/>
        <v>0</v>
      </c>
    </row>
    <row r="42" spans="2:17">
      <c r="B42" s="4">
        <v>150929</v>
      </c>
      <c r="C42" s="5" t="s">
        <v>107</v>
      </c>
      <c r="D42" s="5" t="s">
        <v>108</v>
      </c>
      <c r="E42" s="6">
        <v>31234</v>
      </c>
      <c r="F42" s="7" t="s">
        <v>18</v>
      </c>
      <c r="G42" s="5" t="s">
        <v>19</v>
      </c>
      <c r="H42" s="5" t="s">
        <v>20</v>
      </c>
      <c r="I42" s="5" t="s">
        <v>21</v>
      </c>
      <c r="J42" s="2">
        <v>48000</v>
      </c>
      <c r="M42" s="13" t="s">
        <v>79</v>
      </c>
      <c r="N42" s="14">
        <f t="shared" si="4"/>
        <v>0</v>
      </c>
      <c r="O42" s="14">
        <f t="shared" si="5"/>
        <v>0</v>
      </c>
      <c r="P42" s="14">
        <f t="shared" si="6"/>
        <v>0</v>
      </c>
      <c r="Q42" s="14">
        <f t="shared" si="7"/>
        <v>0</v>
      </c>
    </row>
    <row r="43" spans="2:17">
      <c r="B43" s="4">
        <v>150982</v>
      </c>
      <c r="C43" s="5" t="s">
        <v>109</v>
      </c>
      <c r="D43" s="5" t="s">
        <v>110</v>
      </c>
      <c r="E43" s="6">
        <v>31235</v>
      </c>
      <c r="F43" s="7" t="s">
        <v>18</v>
      </c>
      <c r="G43" s="5" t="s">
        <v>19</v>
      </c>
      <c r="H43" s="5" t="s">
        <v>20</v>
      </c>
      <c r="I43" s="5" t="s">
        <v>21</v>
      </c>
      <c r="J43" s="2">
        <v>48000</v>
      </c>
      <c r="M43" s="13" t="s">
        <v>82</v>
      </c>
      <c r="N43" s="14">
        <f t="shared" si="4"/>
        <v>0</v>
      </c>
      <c r="O43" s="14">
        <f t="shared" si="5"/>
        <v>0</v>
      </c>
      <c r="P43" s="14">
        <f t="shared" si="6"/>
        <v>0</v>
      </c>
      <c r="Q43" s="14">
        <f t="shared" si="7"/>
        <v>0</v>
      </c>
    </row>
    <row r="44" spans="2:17">
      <c r="B44" s="4">
        <v>150821</v>
      </c>
      <c r="C44" s="5" t="s">
        <v>111</v>
      </c>
      <c r="D44" s="5" t="s">
        <v>112</v>
      </c>
      <c r="E44" s="6">
        <v>31236</v>
      </c>
      <c r="F44" s="7" t="s">
        <v>18</v>
      </c>
      <c r="G44" s="5" t="s">
        <v>19</v>
      </c>
      <c r="H44" s="5" t="s">
        <v>20</v>
      </c>
      <c r="I44" s="5" t="s">
        <v>21</v>
      </c>
      <c r="J44" s="2">
        <v>48000</v>
      </c>
      <c r="M44" s="13" t="s">
        <v>93</v>
      </c>
      <c r="N44" s="14">
        <f t="shared" si="4"/>
        <v>0</v>
      </c>
      <c r="O44" s="14">
        <f t="shared" si="5"/>
        <v>0</v>
      </c>
      <c r="P44" s="14">
        <f t="shared" si="6"/>
        <v>0</v>
      </c>
      <c r="Q44" s="14">
        <f t="shared" si="7"/>
        <v>0</v>
      </c>
    </row>
  </sheetData>
  <mergeCells count="6">
    <mergeCell ref="M32:Q32"/>
    <mergeCell ref="M18:Q18"/>
    <mergeCell ref="C2:J2"/>
    <mergeCell ref="M2:N2"/>
    <mergeCell ref="C3:J3"/>
    <mergeCell ref="M10:N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O46"/>
  <sheetViews>
    <sheetView zoomScale="85" zoomScaleNormal="85" workbookViewId="0">
      <selection activeCell="A2" sqref="A2:O46"/>
    </sheetView>
  </sheetViews>
  <sheetFormatPr defaultRowHeight="14.4"/>
  <cols>
    <col min="5" max="5" width="9.88671875" bestFit="1" customWidth="1"/>
    <col min="10" max="10" width="10.6640625" bestFit="1" customWidth="1"/>
    <col min="12" max="12" width="14.6640625" customWidth="1"/>
    <col min="13" max="13" width="13.109375" customWidth="1"/>
    <col min="14" max="14" width="17.44140625" customWidth="1"/>
    <col min="15" max="15" width="11" customWidth="1"/>
  </cols>
  <sheetData>
    <row r="2" spans="2:15">
      <c r="B2" s="15">
        <v>1</v>
      </c>
      <c r="C2" s="29" t="s">
        <v>115</v>
      </c>
      <c r="D2" s="29"/>
      <c r="E2" s="29"/>
      <c r="F2" s="29"/>
      <c r="G2" s="29"/>
      <c r="H2" s="29"/>
    </row>
    <row r="3" spans="2:15">
      <c r="B3" s="15">
        <v>2</v>
      </c>
      <c r="C3" s="29" t="s">
        <v>116</v>
      </c>
      <c r="D3" s="29"/>
      <c r="E3" s="29"/>
      <c r="F3" s="29"/>
      <c r="G3" s="29"/>
      <c r="H3" s="29"/>
    </row>
    <row r="4" spans="2:15">
      <c r="B4" s="15">
        <v>3</v>
      </c>
      <c r="C4" s="29" t="s">
        <v>117</v>
      </c>
      <c r="D4" s="29"/>
      <c r="E4" s="29"/>
      <c r="F4" s="29"/>
      <c r="G4" s="29"/>
      <c r="H4" s="29"/>
    </row>
    <row r="5" spans="2:15">
      <c r="B5" s="15">
        <v>4</v>
      </c>
      <c r="C5" s="29" t="s">
        <v>118</v>
      </c>
      <c r="D5" s="29"/>
      <c r="E5" s="29"/>
      <c r="F5" s="29"/>
      <c r="G5" s="29"/>
      <c r="H5" s="29"/>
    </row>
    <row r="6" spans="2:15">
      <c r="B6" s="15">
        <v>5</v>
      </c>
      <c r="C6" s="29" t="s">
        <v>119</v>
      </c>
      <c r="D6" s="29"/>
      <c r="E6" s="29"/>
      <c r="F6" s="29"/>
      <c r="G6" s="29"/>
      <c r="H6" s="29"/>
    </row>
    <row r="8" spans="2:15">
      <c r="B8" s="16" t="s">
        <v>6</v>
      </c>
      <c r="C8" s="16" t="s">
        <v>7</v>
      </c>
      <c r="D8" s="16" t="s">
        <v>8</v>
      </c>
      <c r="E8" s="16" t="s">
        <v>9</v>
      </c>
      <c r="F8" s="16" t="s">
        <v>10</v>
      </c>
      <c r="G8" s="16" t="s">
        <v>11</v>
      </c>
      <c r="H8" s="16" t="s">
        <v>12</v>
      </c>
      <c r="I8" s="16" t="s">
        <v>13</v>
      </c>
      <c r="J8" s="16" t="s">
        <v>14</v>
      </c>
      <c r="K8" s="21" t="s">
        <v>120</v>
      </c>
      <c r="L8" s="22" t="s">
        <v>121</v>
      </c>
      <c r="M8" s="17" t="s">
        <v>122</v>
      </c>
      <c r="N8" s="17" t="s">
        <v>123</v>
      </c>
      <c r="O8" s="17" t="s">
        <v>124</v>
      </c>
    </row>
    <row r="9" spans="2:15">
      <c r="B9" s="18">
        <v>150834</v>
      </c>
      <c r="C9" s="19" t="s">
        <v>16</v>
      </c>
      <c r="D9" s="19" t="s">
        <v>17</v>
      </c>
      <c r="E9" s="20">
        <v>31199</v>
      </c>
      <c r="F9" s="18" t="s">
        <v>18</v>
      </c>
      <c r="G9" s="19" t="s">
        <v>19</v>
      </c>
      <c r="H9" s="19" t="s">
        <v>20</v>
      </c>
      <c r="I9" s="19" t="s">
        <v>21</v>
      </c>
      <c r="J9" s="10">
        <v>48000</v>
      </c>
      <c r="K9" s="10">
        <f>45%*J9</f>
        <v>21600</v>
      </c>
      <c r="L9" s="10">
        <f>1000+(5%*J9)</f>
        <v>3400</v>
      </c>
      <c r="M9" s="10">
        <f>J9+K9+L9</f>
        <v>73000</v>
      </c>
      <c r="N9" s="10">
        <f>5%*M9</f>
        <v>3650</v>
      </c>
      <c r="O9" s="10">
        <f>M9-N9</f>
        <v>69350</v>
      </c>
    </row>
    <row r="10" spans="2:15">
      <c r="B10" s="18">
        <v>150784</v>
      </c>
      <c r="C10" s="19" t="s">
        <v>23</v>
      </c>
      <c r="D10" s="19" t="s">
        <v>24</v>
      </c>
      <c r="E10" s="20">
        <v>28365</v>
      </c>
      <c r="F10" s="18" t="s">
        <v>18</v>
      </c>
      <c r="G10" s="19" t="s">
        <v>25</v>
      </c>
      <c r="H10" s="19" t="s">
        <v>26</v>
      </c>
      <c r="I10" s="19" t="s">
        <v>21</v>
      </c>
      <c r="J10" s="10">
        <v>35000</v>
      </c>
      <c r="K10" s="10">
        <f t="shared" ref="K10:K46" si="0">45%*J10</f>
        <v>15750</v>
      </c>
      <c r="L10" s="10">
        <f t="shared" ref="L10:L46" si="1">1000+(5%*J10)</f>
        <v>2750</v>
      </c>
      <c r="M10" s="10">
        <f t="shared" ref="M10:M46" si="2">J10+K10+L10</f>
        <v>53500</v>
      </c>
      <c r="N10" s="10">
        <f t="shared" ref="N10:N46" si="3">5%*M10</f>
        <v>2675</v>
      </c>
      <c r="O10" s="10">
        <f t="shared" ref="O10:O46" si="4">M10-N10</f>
        <v>50825</v>
      </c>
    </row>
    <row r="11" spans="2:15">
      <c r="B11" s="18">
        <v>150791</v>
      </c>
      <c r="C11" s="19" t="s">
        <v>28</v>
      </c>
      <c r="D11" s="19" t="s">
        <v>29</v>
      </c>
      <c r="E11" s="20">
        <v>23346</v>
      </c>
      <c r="F11" s="18" t="s">
        <v>18</v>
      </c>
      <c r="G11" s="19" t="s">
        <v>19</v>
      </c>
      <c r="H11" s="19" t="s">
        <v>26</v>
      </c>
      <c r="I11" s="19" t="s">
        <v>21</v>
      </c>
      <c r="J11" s="10">
        <v>67000</v>
      </c>
      <c r="K11" s="10">
        <f t="shared" si="0"/>
        <v>30150</v>
      </c>
      <c r="L11" s="10">
        <f t="shared" si="1"/>
        <v>4350</v>
      </c>
      <c r="M11" s="10">
        <f t="shared" si="2"/>
        <v>101500</v>
      </c>
      <c r="N11" s="10">
        <f t="shared" si="3"/>
        <v>5075</v>
      </c>
      <c r="O11" s="10">
        <f t="shared" si="4"/>
        <v>96425</v>
      </c>
    </row>
    <row r="12" spans="2:15">
      <c r="B12" s="18">
        <v>150940</v>
      </c>
      <c r="C12" s="19" t="s">
        <v>30</v>
      </c>
      <c r="D12" s="19" t="s">
        <v>31</v>
      </c>
      <c r="E12" s="20">
        <v>26906</v>
      </c>
      <c r="F12" s="18" t="s">
        <v>32</v>
      </c>
      <c r="G12" s="19" t="s">
        <v>25</v>
      </c>
      <c r="H12" s="19" t="s">
        <v>33</v>
      </c>
      <c r="I12" s="19" t="s">
        <v>34</v>
      </c>
      <c r="J12" s="10">
        <v>87000</v>
      </c>
      <c r="K12" s="10">
        <f t="shared" si="0"/>
        <v>39150</v>
      </c>
      <c r="L12" s="10">
        <f t="shared" si="1"/>
        <v>5350</v>
      </c>
      <c r="M12" s="10">
        <f t="shared" si="2"/>
        <v>131500</v>
      </c>
      <c r="N12" s="10">
        <f t="shared" si="3"/>
        <v>6575</v>
      </c>
      <c r="O12" s="10">
        <f t="shared" si="4"/>
        <v>124925</v>
      </c>
    </row>
    <row r="13" spans="2:15">
      <c r="B13" s="18">
        <v>150777</v>
      </c>
      <c r="C13" s="19" t="s">
        <v>36</v>
      </c>
      <c r="D13" s="19" t="s">
        <v>37</v>
      </c>
      <c r="E13" s="20">
        <v>21123</v>
      </c>
      <c r="F13" s="18" t="s">
        <v>32</v>
      </c>
      <c r="G13" s="19" t="s">
        <v>19</v>
      </c>
      <c r="H13" s="19" t="s">
        <v>38</v>
      </c>
      <c r="I13" s="19" t="s">
        <v>21</v>
      </c>
      <c r="J13" s="10">
        <v>22000</v>
      </c>
      <c r="K13" s="10">
        <f t="shared" si="0"/>
        <v>9900</v>
      </c>
      <c r="L13" s="10">
        <f t="shared" si="1"/>
        <v>2100</v>
      </c>
      <c r="M13" s="10">
        <f t="shared" si="2"/>
        <v>34000</v>
      </c>
      <c r="N13" s="10">
        <f t="shared" si="3"/>
        <v>1700</v>
      </c>
      <c r="O13" s="10">
        <f t="shared" si="4"/>
        <v>32300</v>
      </c>
    </row>
    <row r="14" spans="2:15">
      <c r="B14" s="18">
        <v>150805</v>
      </c>
      <c r="C14" s="19" t="s">
        <v>28</v>
      </c>
      <c r="D14" s="19" t="s">
        <v>40</v>
      </c>
      <c r="E14" s="20">
        <v>26172</v>
      </c>
      <c r="F14" s="18" t="s">
        <v>32</v>
      </c>
      <c r="G14" s="19" t="s">
        <v>19</v>
      </c>
      <c r="H14" s="19" t="s">
        <v>41</v>
      </c>
      <c r="I14" s="19" t="s">
        <v>21</v>
      </c>
      <c r="J14" s="10">
        <v>91000</v>
      </c>
      <c r="K14" s="10">
        <f t="shared" si="0"/>
        <v>40950</v>
      </c>
      <c r="L14" s="10">
        <f t="shared" si="1"/>
        <v>5550</v>
      </c>
      <c r="M14" s="10">
        <f t="shared" si="2"/>
        <v>137500</v>
      </c>
      <c r="N14" s="10">
        <f t="shared" si="3"/>
        <v>6875</v>
      </c>
      <c r="O14" s="10">
        <f t="shared" si="4"/>
        <v>130625</v>
      </c>
    </row>
    <row r="15" spans="2:15">
      <c r="B15" s="18">
        <v>150990</v>
      </c>
      <c r="C15" s="19" t="s">
        <v>43</v>
      </c>
      <c r="D15" s="19" t="s">
        <v>44</v>
      </c>
      <c r="E15" s="20">
        <v>36400</v>
      </c>
      <c r="F15" s="18" t="s">
        <v>32</v>
      </c>
      <c r="G15" s="19" t="s">
        <v>19</v>
      </c>
      <c r="H15" s="19" t="s">
        <v>45</v>
      </c>
      <c r="I15" s="19" t="s">
        <v>46</v>
      </c>
      <c r="J15" s="10">
        <v>77000</v>
      </c>
      <c r="K15" s="10">
        <f t="shared" si="0"/>
        <v>34650</v>
      </c>
      <c r="L15" s="10">
        <f t="shared" si="1"/>
        <v>4850</v>
      </c>
      <c r="M15" s="10">
        <f t="shared" si="2"/>
        <v>116500</v>
      </c>
      <c r="N15" s="10">
        <f t="shared" si="3"/>
        <v>5825</v>
      </c>
      <c r="O15" s="10">
        <f t="shared" si="4"/>
        <v>110675</v>
      </c>
    </row>
    <row r="16" spans="2:15">
      <c r="B16" s="18">
        <v>150989</v>
      </c>
      <c r="C16" s="19" t="s">
        <v>48</v>
      </c>
      <c r="D16" s="19" t="s">
        <v>44</v>
      </c>
      <c r="E16" s="20">
        <v>33113</v>
      </c>
      <c r="F16" s="18" t="s">
        <v>32</v>
      </c>
      <c r="G16" s="19" t="s">
        <v>19</v>
      </c>
      <c r="H16" s="19" t="s">
        <v>26</v>
      </c>
      <c r="I16" s="19" t="s">
        <v>46</v>
      </c>
      <c r="J16" s="10">
        <v>45000</v>
      </c>
      <c r="K16" s="10">
        <f t="shared" si="0"/>
        <v>20250</v>
      </c>
      <c r="L16" s="10">
        <f t="shared" si="1"/>
        <v>3250</v>
      </c>
      <c r="M16" s="10">
        <f t="shared" si="2"/>
        <v>68500</v>
      </c>
      <c r="N16" s="10">
        <f t="shared" si="3"/>
        <v>3425</v>
      </c>
      <c r="O16" s="10">
        <f t="shared" si="4"/>
        <v>65075</v>
      </c>
    </row>
    <row r="17" spans="2:15">
      <c r="B17" s="18">
        <v>150881</v>
      </c>
      <c r="C17" s="19" t="s">
        <v>50</v>
      </c>
      <c r="D17" s="19" t="s">
        <v>51</v>
      </c>
      <c r="E17" s="20">
        <v>30337</v>
      </c>
      <c r="F17" s="18" t="s">
        <v>32</v>
      </c>
      <c r="G17" s="19" t="s">
        <v>25</v>
      </c>
      <c r="H17" s="19" t="s">
        <v>26</v>
      </c>
      <c r="I17" s="19" t="s">
        <v>52</v>
      </c>
      <c r="J17" s="10">
        <v>92000</v>
      </c>
      <c r="K17" s="10">
        <f t="shared" si="0"/>
        <v>41400</v>
      </c>
      <c r="L17" s="10">
        <f t="shared" si="1"/>
        <v>5600</v>
      </c>
      <c r="M17" s="10">
        <f t="shared" si="2"/>
        <v>139000</v>
      </c>
      <c r="N17" s="10">
        <f t="shared" si="3"/>
        <v>6950</v>
      </c>
      <c r="O17" s="10">
        <f t="shared" si="4"/>
        <v>132050</v>
      </c>
    </row>
    <row r="18" spans="2:15">
      <c r="B18" s="18">
        <v>150814</v>
      </c>
      <c r="C18" s="19" t="s">
        <v>54</v>
      </c>
      <c r="D18" s="19" t="s">
        <v>55</v>
      </c>
      <c r="E18" s="20">
        <v>26246</v>
      </c>
      <c r="F18" s="18" t="s">
        <v>32</v>
      </c>
      <c r="G18" s="19" t="s">
        <v>19</v>
      </c>
      <c r="H18" s="19" t="s">
        <v>33</v>
      </c>
      <c r="I18" s="19" t="s">
        <v>21</v>
      </c>
      <c r="J18" s="10">
        <v>50000</v>
      </c>
      <c r="K18" s="10">
        <f t="shared" si="0"/>
        <v>22500</v>
      </c>
      <c r="L18" s="10">
        <f t="shared" si="1"/>
        <v>3500</v>
      </c>
      <c r="M18" s="10">
        <f t="shared" si="2"/>
        <v>76000</v>
      </c>
      <c r="N18" s="10">
        <f t="shared" si="3"/>
        <v>3800</v>
      </c>
      <c r="O18" s="10">
        <f t="shared" si="4"/>
        <v>72200</v>
      </c>
    </row>
    <row r="19" spans="2:15">
      <c r="B19" s="18">
        <v>150937</v>
      </c>
      <c r="C19" s="19" t="s">
        <v>57</v>
      </c>
      <c r="D19" s="19" t="s">
        <v>58</v>
      </c>
      <c r="E19" s="20">
        <v>24700</v>
      </c>
      <c r="F19" s="18" t="s">
        <v>32</v>
      </c>
      <c r="G19" s="19" t="s">
        <v>19</v>
      </c>
      <c r="H19" s="19" t="s">
        <v>45</v>
      </c>
      <c r="I19" s="19" t="s">
        <v>34</v>
      </c>
      <c r="J19" s="10">
        <v>37000</v>
      </c>
      <c r="K19" s="10">
        <f t="shared" si="0"/>
        <v>16650</v>
      </c>
      <c r="L19" s="10">
        <f t="shared" si="1"/>
        <v>2850</v>
      </c>
      <c r="M19" s="10">
        <f t="shared" si="2"/>
        <v>56500</v>
      </c>
      <c r="N19" s="10">
        <f t="shared" si="3"/>
        <v>2825</v>
      </c>
      <c r="O19" s="10">
        <f t="shared" si="4"/>
        <v>53675</v>
      </c>
    </row>
    <row r="20" spans="2:15">
      <c r="B20" s="18">
        <v>150888</v>
      </c>
      <c r="C20" s="19" t="s">
        <v>59</v>
      </c>
      <c r="D20" s="19" t="s">
        <v>60</v>
      </c>
      <c r="E20" s="20">
        <v>29221</v>
      </c>
      <c r="F20" s="18" t="s">
        <v>32</v>
      </c>
      <c r="G20" s="19" t="s">
        <v>19</v>
      </c>
      <c r="H20" s="19" t="s">
        <v>45</v>
      </c>
      <c r="I20" s="19" t="s">
        <v>52</v>
      </c>
      <c r="J20" s="10">
        <v>43000</v>
      </c>
      <c r="K20" s="10">
        <f t="shared" si="0"/>
        <v>19350</v>
      </c>
      <c r="L20" s="10">
        <f t="shared" si="1"/>
        <v>3150</v>
      </c>
      <c r="M20" s="10">
        <f t="shared" si="2"/>
        <v>65500</v>
      </c>
      <c r="N20" s="10">
        <f t="shared" si="3"/>
        <v>3275</v>
      </c>
      <c r="O20" s="10">
        <f t="shared" si="4"/>
        <v>62225</v>
      </c>
    </row>
    <row r="21" spans="2:15">
      <c r="B21" s="18">
        <v>150865</v>
      </c>
      <c r="C21" s="19" t="s">
        <v>61</v>
      </c>
      <c r="D21" s="19" t="s">
        <v>60</v>
      </c>
      <c r="E21" s="20">
        <v>31279</v>
      </c>
      <c r="F21" s="18" t="s">
        <v>18</v>
      </c>
      <c r="G21" s="19" t="s">
        <v>19</v>
      </c>
      <c r="H21" s="19" t="s">
        <v>62</v>
      </c>
      <c r="I21" s="19" t="s">
        <v>52</v>
      </c>
      <c r="J21" s="10">
        <v>90000</v>
      </c>
      <c r="K21" s="10">
        <f t="shared" si="0"/>
        <v>40500</v>
      </c>
      <c r="L21" s="10">
        <f t="shared" si="1"/>
        <v>5500</v>
      </c>
      <c r="M21" s="10">
        <f t="shared" si="2"/>
        <v>136000</v>
      </c>
      <c r="N21" s="10">
        <f t="shared" si="3"/>
        <v>6800</v>
      </c>
      <c r="O21" s="10">
        <f t="shared" si="4"/>
        <v>129200</v>
      </c>
    </row>
    <row r="22" spans="2:15">
      <c r="B22" s="18">
        <v>150858</v>
      </c>
      <c r="C22" s="19" t="s">
        <v>63</v>
      </c>
      <c r="D22" s="19" t="s">
        <v>64</v>
      </c>
      <c r="E22" s="20">
        <v>34846</v>
      </c>
      <c r="F22" s="18" t="s">
        <v>32</v>
      </c>
      <c r="G22" s="19" t="s">
        <v>19</v>
      </c>
      <c r="H22" s="19" t="s">
        <v>65</v>
      </c>
      <c r="I22" s="19" t="s">
        <v>52</v>
      </c>
      <c r="J22" s="10">
        <v>34000</v>
      </c>
      <c r="K22" s="10">
        <f t="shared" si="0"/>
        <v>15300</v>
      </c>
      <c r="L22" s="10">
        <f t="shared" si="1"/>
        <v>2700</v>
      </c>
      <c r="M22" s="10">
        <f t="shared" si="2"/>
        <v>52000</v>
      </c>
      <c r="N22" s="10">
        <f t="shared" si="3"/>
        <v>2600</v>
      </c>
      <c r="O22" s="10">
        <f t="shared" si="4"/>
        <v>49400</v>
      </c>
    </row>
    <row r="23" spans="2:15">
      <c r="B23" s="18">
        <v>150930</v>
      </c>
      <c r="C23" s="19" t="s">
        <v>66</v>
      </c>
      <c r="D23" s="19" t="s">
        <v>67</v>
      </c>
      <c r="E23" s="20">
        <v>37027</v>
      </c>
      <c r="F23" s="18" t="s">
        <v>32</v>
      </c>
      <c r="G23" s="19" t="s">
        <v>19</v>
      </c>
      <c r="H23" s="19" t="s">
        <v>26</v>
      </c>
      <c r="I23" s="19" t="s">
        <v>34</v>
      </c>
      <c r="J23" s="10">
        <v>82000</v>
      </c>
      <c r="K23" s="10">
        <f t="shared" si="0"/>
        <v>36900</v>
      </c>
      <c r="L23" s="10">
        <f t="shared" si="1"/>
        <v>5100</v>
      </c>
      <c r="M23" s="10">
        <f t="shared" si="2"/>
        <v>124000</v>
      </c>
      <c r="N23" s="10">
        <f t="shared" si="3"/>
        <v>6200</v>
      </c>
      <c r="O23" s="10">
        <f t="shared" si="4"/>
        <v>117800</v>
      </c>
    </row>
    <row r="24" spans="2:15">
      <c r="B24" s="18">
        <v>150894</v>
      </c>
      <c r="C24" s="19" t="s">
        <v>69</v>
      </c>
      <c r="D24" s="19" t="s">
        <v>70</v>
      </c>
      <c r="E24" s="20">
        <v>37124</v>
      </c>
      <c r="F24" s="18" t="s">
        <v>32</v>
      </c>
      <c r="G24" s="19" t="s">
        <v>19</v>
      </c>
      <c r="H24" s="19" t="s">
        <v>33</v>
      </c>
      <c r="I24" s="19" t="s">
        <v>34</v>
      </c>
      <c r="J24" s="10">
        <v>67000</v>
      </c>
      <c r="K24" s="10">
        <f t="shared" si="0"/>
        <v>30150</v>
      </c>
      <c r="L24" s="10">
        <f t="shared" si="1"/>
        <v>4350</v>
      </c>
      <c r="M24" s="10">
        <f t="shared" si="2"/>
        <v>101500</v>
      </c>
      <c r="N24" s="10">
        <f t="shared" si="3"/>
        <v>5075</v>
      </c>
      <c r="O24" s="10">
        <f t="shared" si="4"/>
        <v>96425</v>
      </c>
    </row>
    <row r="25" spans="2:15">
      <c r="B25" s="18">
        <v>150947</v>
      </c>
      <c r="C25" s="19" t="s">
        <v>71</v>
      </c>
      <c r="D25" s="19" t="s">
        <v>72</v>
      </c>
      <c r="E25" s="20">
        <v>33449</v>
      </c>
      <c r="F25" s="18" t="s">
        <v>18</v>
      </c>
      <c r="G25" s="19" t="s">
        <v>19</v>
      </c>
      <c r="H25" s="19" t="s">
        <v>65</v>
      </c>
      <c r="I25" s="19" t="s">
        <v>34</v>
      </c>
      <c r="J25" s="10">
        <v>85000</v>
      </c>
      <c r="K25" s="10">
        <f t="shared" si="0"/>
        <v>38250</v>
      </c>
      <c r="L25" s="10">
        <f t="shared" si="1"/>
        <v>5250</v>
      </c>
      <c r="M25" s="10">
        <f t="shared" si="2"/>
        <v>128500</v>
      </c>
      <c r="N25" s="10">
        <f t="shared" si="3"/>
        <v>6425</v>
      </c>
      <c r="O25" s="10">
        <f t="shared" si="4"/>
        <v>122075</v>
      </c>
    </row>
    <row r="26" spans="2:15">
      <c r="B26" s="18">
        <v>150905</v>
      </c>
      <c r="C26" s="19" t="s">
        <v>73</v>
      </c>
      <c r="D26" s="19" t="s">
        <v>74</v>
      </c>
      <c r="E26" s="20">
        <v>30819</v>
      </c>
      <c r="F26" s="18" t="s">
        <v>18</v>
      </c>
      <c r="G26" s="19" t="s">
        <v>25</v>
      </c>
      <c r="H26" s="19" t="s">
        <v>20</v>
      </c>
      <c r="I26" s="19" t="s">
        <v>34</v>
      </c>
      <c r="J26" s="10">
        <v>62000</v>
      </c>
      <c r="K26" s="10">
        <f t="shared" si="0"/>
        <v>27900</v>
      </c>
      <c r="L26" s="10">
        <f t="shared" si="1"/>
        <v>4100</v>
      </c>
      <c r="M26" s="10">
        <f t="shared" si="2"/>
        <v>94000</v>
      </c>
      <c r="N26" s="10">
        <f t="shared" si="3"/>
        <v>4700</v>
      </c>
      <c r="O26" s="10">
        <f t="shared" si="4"/>
        <v>89300</v>
      </c>
    </row>
    <row r="27" spans="2:15">
      <c r="B27" s="18">
        <v>150995</v>
      </c>
      <c r="C27" s="19" t="s">
        <v>75</v>
      </c>
      <c r="D27" s="19" t="s">
        <v>76</v>
      </c>
      <c r="E27" s="20">
        <v>35330</v>
      </c>
      <c r="F27" s="18" t="s">
        <v>32</v>
      </c>
      <c r="G27" s="19" t="s">
        <v>19</v>
      </c>
      <c r="H27" s="19" t="s">
        <v>33</v>
      </c>
      <c r="I27" s="19" t="s">
        <v>46</v>
      </c>
      <c r="J27" s="10">
        <v>15000</v>
      </c>
      <c r="K27" s="10">
        <f t="shared" si="0"/>
        <v>6750</v>
      </c>
      <c r="L27" s="10">
        <f t="shared" si="1"/>
        <v>1750</v>
      </c>
      <c r="M27" s="10">
        <f t="shared" si="2"/>
        <v>23500</v>
      </c>
      <c r="N27" s="10">
        <f t="shared" si="3"/>
        <v>1175</v>
      </c>
      <c r="O27" s="10">
        <f t="shared" si="4"/>
        <v>22325</v>
      </c>
    </row>
    <row r="28" spans="2:15">
      <c r="B28" s="18">
        <v>150912</v>
      </c>
      <c r="C28" s="19" t="s">
        <v>77</v>
      </c>
      <c r="D28" s="19" t="s">
        <v>78</v>
      </c>
      <c r="E28" s="20">
        <v>37629</v>
      </c>
      <c r="F28" s="18" t="s">
        <v>18</v>
      </c>
      <c r="G28" s="19" t="s">
        <v>19</v>
      </c>
      <c r="H28" s="19" t="s">
        <v>79</v>
      </c>
      <c r="I28" s="19" t="s">
        <v>34</v>
      </c>
      <c r="J28" s="10">
        <v>81000</v>
      </c>
      <c r="K28" s="10">
        <f t="shared" si="0"/>
        <v>36450</v>
      </c>
      <c r="L28" s="10">
        <f t="shared" si="1"/>
        <v>5050</v>
      </c>
      <c r="M28" s="10">
        <f t="shared" si="2"/>
        <v>122500</v>
      </c>
      <c r="N28" s="10">
        <f t="shared" si="3"/>
        <v>6125</v>
      </c>
      <c r="O28" s="10">
        <f t="shared" si="4"/>
        <v>116375</v>
      </c>
    </row>
    <row r="29" spans="2:15">
      <c r="B29" s="18">
        <v>150921</v>
      </c>
      <c r="C29" s="19" t="s">
        <v>80</v>
      </c>
      <c r="D29" s="19" t="s">
        <v>81</v>
      </c>
      <c r="E29" s="20">
        <v>38092</v>
      </c>
      <c r="F29" s="18" t="s">
        <v>32</v>
      </c>
      <c r="G29" s="19" t="s">
        <v>19</v>
      </c>
      <c r="H29" s="19" t="s">
        <v>82</v>
      </c>
      <c r="I29" s="19" t="s">
        <v>34</v>
      </c>
      <c r="J29" s="10">
        <v>19000</v>
      </c>
      <c r="K29" s="10">
        <f t="shared" si="0"/>
        <v>8550</v>
      </c>
      <c r="L29" s="10">
        <f t="shared" si="1"/>
        <v>1950</v>
      </c>
      <c r="M29" s="10">
        <f t="shared" si="2"/>
        <v>29500</v>
      </c>
      <c r="N29" s="10">
        <f t="shared" si="3"/>
        <v>1475</v>
      </c>
      <c r="O29" s="10">
        <f t="shared" si="4"/>
        <v>28025</v>
      </c>
    </row>
    <row r="30" spans="2:15">
      <c r="B30" s="18">
        <v>150851</v>
      </c>
      <c r="C30" s="19" t="s">
        <v>83</v>
      </c>
      <c r="D30" s="19" t="s">
        <v>84</v>
      </c>
      <c r="E30" s="20">
        <v>29368</v>
      </c>
      <c r="F30" s="18" t="s">
        <v>32</v>
      </c>
      <c r="G30" s="19" t="s">
        <v>25</v>
      </c>
      <c r="H30" s="19" t="s">
        <v>33</v>
      </c>
      <c r="I30" s="19" t="s">
        <v>52</v>
      </c>
      <c r="J30" s="10">
        <v>75000</v>
      </c>
      <c r="K30" s="10">
        <f t="shared" si="0"/>
        <v>33750</v>
      </c>
      <c r="L30" s="10">
        <f t="shared" si="1"/>
        <v>4750</v>
      </c>
      <c r="M30" s="10">
        <f t="shared" si="2"/>
        <v>113500</v>
      </c>
      <c r="N30" s="10">
        <f t="shared" si="3"/>
        <v>5675</v>
      </c>
      <c r="O30" s="10">
        <f t="shared" si="4"/>
        <v>107825</v>
      </c>
    </row>
    <row r="31" spans="2:15">
      <c r="B31" s="18">
        <v>150867</v>
      </c>
      <c r="C31" s="19" t="s">
        <v>85</v>
      </c>
      <c r="D31" s="19" t="s">
        <v>86</v>
      </c>
      <c r="E31" s="20">
        <v>29028</v>
      </c>
      <c r="F31" s="18" t="s">
        <v>18</v>
      </c>
      <c r="G31" s="19" t="s">
        <v>25</v>
      </c>
      <c r="H31" s="19" t="s">
        <v>82</v>
      </c>
      <c r="I31" s="19" t="s">
        <v>52</v>
      </c>
      <c r="J31" s="10">
        <v>49000</v>
      </c>
      <c r="K31" s="10">
        <f t="shared" si="0"/>
        <v>22050</v>
      </c>
      <c r="L31" s="10">
        <f t="shared" si="1"/>
        <v>3450</v>
      </c>
      <c r="M31" s="10">
        <f t="shared" si="2"/>
        <v>74500</v>
      </c>
      <c r="N31" s="10">
        <f t="shared" si="3"/>
        <v>3725</v>
      </c>
      <c r="O31" s="10">
        <f t="shared" si="4"/>
        <v>70775</v>
      </c>
    </row>
    <row r="32" spans="2:15">
      <c r="B32" s="18">
        <v>150899</v>
      </c>
      <c r="C32" s="19" t="s">
        <v>87</v>
      </c>
      <c r="D32" s="19" t="s">
        <v>88</v>
      </c>
      <c r="E32" s="20">
        <v>37400</v>
      </c>
      <c r="F32" s="18" t="s">
        <v>32</v>
      </c>
      <c r="G32" s="19" t="s">
        <v>19</v>
      </c>
      <c r="H32" s="19" t="s">
        <v>65</v>
      </c>
      <c r="I32" s="19" t="s">
        <v>34</v>
      </c>
      <c r="J32" s="10">
        <v>50000</v>
      </c>
      <c r="K32" s="10">
        <f t="shared" si="0"/>
        <v>22500</v>
      </c>
      <c r="L32" s="10">
        <f t="shared" si="1"/>
        <v>3500</v>
      </c>
      <c r="M32" s="10">
        <f t="shared" si="2"/>
        <v>76000</v>
      </c>
      <c r="N32" s="10">
        <f t="shared" si="3"/>
        <v>3800</v>
      </c>
      <c r="O32" s="10">
        <f t="shared" si="4"/>
        <v>72200</v>
      </c>
    </row>
    <row r="33" spans="2:15">
      <c r="B33" s="18">
        <v>150975</v>
      </c>
      <c r="C33" s="19" t="s">
        <v>89</v>
      </c>
      <c r="D33" s="19" t="s">
        <v>90</v>
      </c>
      <c r="E33" s="20">
        <v>31478</v>
      </c>
      <c r="F33" s="18" t="s">
        <v>32</v>
      </c>
      <c r="G33" s="19" t="s">
        <v>19</v>
      </c>
      <c r="H33" s="19" t="s">
        <v>82</v>
      </c>
      <c r="I33" s="19" t="s">
        <v>46</v>
      </c>
      <c r="J33" s="10">
        <v>83000</v>
      </c>
      <c r="K33" s="10">
        <f t="shared" si="0"/>
        <v>37350</v>
      </c>
      <c r="L33" s="10">
        <f t="shared" si="1"/>
        <v>5150</v>
      </c>
      <c r="M33" s="10">
        <f t="shared" si="2"/>
        <v>125500</v>
      </c>
      <c r="N33" s="10">
        <f t="shared" si="3"/>
        <v>6275</v>
      </c>
      <c r="O33" s="10">
        <f t="shared" si="4"/>
        <v>119225</v>
      </c>
    </row>
    <row r="34" spans="2:15">
      <c r="B34" s="18">
        <v>150901</v>
      </c>
      <c r="C34" s="19" t="s">
        <v>91</v>
      </c>
      <c r="D34" s="19" t="s">
        <v>92</v>
      </c>
      <c r="E34" s="20">
        <v>32946</v>
      </c>
      <c r="F34" s="18" t="s">
        <v>18</v>
      </c>
      <c r="G34" s="19" t="s">
        <v>19</v>
      </c>
      <c r="H34" s="19" t="s">
        <v>93</v>
      </c>
      <c r="I34" s="19" t="s">
        <v>34</v>
      </c>
      <c r="J34" s="10">
        <v>53000</v>
      </c>
      <c r="K34" s="10">
        <f t="shared" si="0"/>
        <v>23850</v>
      </c>
      <c r="L34" s="10">
        <f t="shared" si="1"/>
        <v>3650</v>
      </c>
      <c r="M34" s="10">
        <f t="shared" si="2"/>
        <v>80500</v>
      </c>
      <c r="N34" s="10">
        <f t="shared" si="3"/>
        <v>4025</v>
      </c>
      <c r="O34" s="10">
        <f t="shared" si="4"/>
        <v>76475</v>
      </c>
    </row>
    <row r="35" spans="2:15">
      <c r="B35" s="18">
        <v>150968</v>
      </c>
      <c r="C35" s="19" t="s">
        <v>94</v>
      </c>
      <c r="D35" s="19" t="s">
        <v>95</v>
      </c>
      <c r="E35" s="20">
        <v>37208</v>
      </c>
      <c r="F35" s="18" t="s">
        <v>32</v>
      </c>
      <c r="G35" s="19" t="s">
        <v>19</v>
      </c>
      <c r="H35" s="19" t="s">
        <v>79</v>
      </c>
      <c r="I35" s="19" t="s">
        <v>34</v>
      </c>
      <c r="J35" s="10">
        <v>65000</v>
      </c>
      <c r="K35" s="10">
        <f t="shared" si="0"/>
        <v>29250</v>
      </c>
      <c r="L35" s="10">
        <f t="shared" si="1"/>
        <v>4250</v>
      </c>
      <c r="M35" s="10">
        <f t="shared" si="2"/>
        <v>98500</v>
      </c>
      <c r="N35" s="10">
        <f t="shared" si="3"/>
        <v>4925</v>
      </c>
      <c r="O35" s="10">
        <f t="shared" si="4"/>
        <v>93575</v>
      </c>
    </row>
    <row r="36" spans="2:15">
      <c r="B36" s="18">
        <v>150773</v>
      </c>
      <c r="C36" s="19" t="s">
        <v>96</v>
      </c>
      <c r="D36" s="19" t="s">
        <v>97</v>
      </c>
      <c r="E36" s="20">
        <v>26860</v>
      </c>
      <c r="F36" s="18" t="s">
        <v>32</v>
      </c>
      <c r="G36" s="19" t="s">
        <v>19</v>
      </c>
      <c r="H36" s="19" t="s">
        <v>82</v>
      </c>
      <c r="I36" s="19" t="s">
        <v>21</v>
      </c>
      <c r="J36" s="10">
        <v>85000</v>
      </c>
      <c r="K36" s="10">
        <f t="shared" si="0"/>
        <v>38250</v>
      </c>
      <c r="L36" s="10">
        <f t="shared" si="1"/>
        <v>5250</v>
      </c>
      <c r="M36" s="10">
        <f t="shared" si="2"/>
        <v>128500</v>
      </c>
      <c r="N36" s="10">
        <f t="shared" si="3"/>
        <v>6425</v>
      </c>
      <c r="O36" s="10">
        <f t="shared" si="4"/>
        <v>122075</v>
      </c>
    </row>
    <row r="37" spans="2:15">
      <c r="B37" s="18">
        <v>150840</v>
      </c>
      <c r="C37" s="19" t="s">
        <v>66</v>
      </c>
      <c r="D37" s="19" t="s">
        <v>98</v>
      </c>
      <c r="E37" s="20">
        <v>23136</v>
      </c>
      <c r="F37" s="18" t="s">
        <v>18</v>
      </c>
      <c r="G37" s="19" t="s">
        <v>19</v>
      </c>
      <c r="H37" s="19" t="s">
        <v>33</v>
      </c>
      <c r="I37" s="19" t="s">
        <v>52</v>
      </c>
      <c r="J37" s="10">
        <v>20000</v>
      </c>
      <c r="K37" s="10">
        <f t="shared" si="0"/>
        <v>9000</v>
      </c>
      <c r="L37" s="10">
        <f t="shared" si="1"/>
        <v>2000</v>
      </c>
      <c r="M37" s="10">
        <f t="shared" si="2"/>
        <v>31000</v>
      </c>
      <c r="N37" s="10">
        <f t="shared" si="3"/>
        <v>1550</v>
      </c>
      <c r="O37" s="10">
        <f t="shared" si="4"/>
        <v>29450</v>
      </c>
    </row>
    <row r="38" spans="2:15">
      <c r="B38" s="18">
        <v>150850</v>
      </c>
      <c r="C38" s="19" t="s">
        <v>57</v>
      </c>
      <c r="D38" s="19" t="s">
        <v>99</v>
      </c>
      <c r="E38" s="20">
        <v>32027</v>
      </c>
      <c r="F38" s="18" t="s">
        <v>32</v>
      </c>
      <c r="G38" s="19" t="s">
        <v>19</v>
      </c>
      <c r="H38" s="19" t="s">
        <v>65</v>
      </c>
      <c r="I38" s="19" t="s">
        <v>52</v>
      </c>
      <c r="J38" s="10">
        <v>47000</v>
      </c>
      <c r="K38" s="10">
        <f t="shared" si="0"/>
        <v>21150</v>
      </c>
      <c r="L38" s="10">
        <f t="shared" si="1"/>
        <v>3350</v>
      </c>
      <c r="M38" s="10">
        <f t="shared" si="2"/>
        <v>71500</v>
      </c>
      <c r="N38" s="10">
        <f t="shared" si="3"/>
        <v>3575</v>
      </c>
      <c r="O38" s="10">
        <f t="shared" si="4"/>
        <v>67925</v>
      </c>
    </row>
    <row r="39" spans="2:15">
      <c r="B39" s="18">
        <v>150962</v>
      </c>
      <c r="C39" s="19" t="s">
        <v>100</v>
      </c>
      <c r="D39" s="19" t="s">
        <v>101</v>
      </c>
      <c r="E39" s="20">
        <v>37773</v>
      </c>
      <c r="F39" s="18" t="s">
        <v>18</v>
      </c>
      <c r="G39" s="19" t="s">
        <v>19</v>
      </c>
      <c r="H39" s="19" t="s">
        <v>41</v>
      </c>
      <c r="I39" s="19" t="s">
        <v>34</v>
      </c>
      <c r="J39" s="10">
        <v>87000</v>
      </c>
      <c r="K39" s="10">
        <f t="shared" si="0"/>
        <v>39150</v>
      </c>
      <c r="L39" s="10">
        <f t="shared" si="1"/>
        <v>5350</v>
      </c>
      <c r="M39" s="10">
        <f t="shared" si="2"/>
        <v>131500</v>
      </c>
      <c r="N39" s="10">
        <f t="shared" si="3"/>
        <v>6575</v>
      </c>
      <c r="O39" s="10">
        <f t="shared" si="4"/>
        <v>124925</v>
      </c>
    </row>
    <row r="40" spans="2:15">
      <c r="B40" s="18">
        <v>150954</v>
      </c>
      <c r="C40" s="19" t="s">
        <v>102</v>
      </c>
      <c r="D40" s="19" t="s">
        <v>101</v>
      </c>
      <c r="E40" s="20">
        <v>35495</v>
      </c>
      <c r="F40" s="18" t="s">
        <v>18</v>
      </c>
      <c r="G40" s="19" t="s">
        <v>19</v>
      </c>
      <c r="H40" s="19" t="s">
        <v>93</v>
      </c>
      <c r="I40" s="19" t="s">
        <v>34</v>
      </c>
      <c r="J40" s="10">
        <v>57000</v>
      </c>
      <c r="K40" s="10">
        <f t="shared" si="0"/>
        <v>25650</v>
      </c>
      <c r="L40" s="10">
        <f t="shared" si="1"/>
        <v>3850</v>
      </c>
      <c r="M40" s="10">
        <f t="shared" si="2"/>
        <v>86500</v>
      </c>
      <c r="N40" s="10">
        <f t="shared" si="3"/>
        <v>4325</v>
      </c>
      <c r="O40" s="10">
        <f t="shared" si="4"/>
        <v>82175</v>
      </c>
    </row>
    <row r="41" spans="2:15">
      <c r="B41" s="18">
        <v>150874</v>
      </c>
      <c r="C41" s="19" t="s">
        <v>103</v>
      </c>
      <c r="D41" s="19" t="s">
        <v>101</v>
      </c>
      <c r="E41" s="20">
        <v>37890</v>
      </c>
      <c r="F41" s="18" t="s">
        <v>18</v>
      </c>
      <c r="G41" s="19" t="s">
        <v>19</v>
      </c>
      <c r="H41" s="19" t="s">
        <v>38</v>
      </c>
      <c r="I41" s="19" t="s">
        <v>52</v>
      </c>
      <c r="J41" s="10">
        <v>27000</v>
      </c>
      <c r="K41" s="10">
        <f t="shared" si="0"/>
        <v>12150</v>
      </c>
      <c r="L41" s="10">
        <f t="shared" si="1"/>
        <v>2350</v>
      </c>
      <c r="M41" s="10">
        <f t="shared" si="2"/>
        <v>41500</v>
      </c>
      <c r="N41" s="10">
        <f t="shared" si="3"/>
        <v>2075</v>
      </c>
      <c r="O41" s="10">
        <f t="shared" si="4"/>
        <v>39425</v>
      </c>
    </row>
    <row r="42" spans="2:15">
      <c r="B42" s="18">
        <v>150798</v>
      </c>
      <c r="C42" s="19" t="s">
        <v>104</v>
      </c>
      <c r="D42" s="19" t="s">
        <v>101</v>
      </c>
      <c r="E42" s="20">
        <v>28276</v>
      </c>
      <c r="F42" s="18" t="s">
        <v>18</v>
      </c>
      <c r="G42" s="19" t="s">
        <v>19</v>
      </c>
      <c r="H42" s="19" t="s">
        <v>26</v>
      </c>
      <c r="I42" s="19" t="s">
        <v>21</v>
      </c>
      <c r="J42" s="10">
        <v>81000</v>
      </c>
      <c r="K42" s="10">
        <f t="shared" si="0"/>
        <v>36450</v>
      </c>
      <c r="L42" s="10">
        <f t="shared" si="1"/>
        <v>5050</v>
      </c>
      <c r="M42" s="10">
        <f t="shared" si="2"/>
        <v>122500</v>
      </c>
      <c r="N42" s="10">
        <f t="shared" si="3"/>
        <v>6125</v>
      </c>
      <c r="O42" s="10">
        <f t="shared" si="4"/>
        <v>116375</v>
      </c>
    </row>
    <row r="43" spans="2:15">
      <c r="B43" s="18">
        <v>150830</v>
      </c>
      <c r="C43" s="19" t="s">
        <v>105</v>
      </c>
      <c r="D43" s="19" t="s">
        <v>106</v>
      </c>
      <c r="E43" s="20">
        <v>29037</v>
      </c>
      <c r="F43" s="18" t="s">
        <v>18</v>
      </c>
      <c r="G43" s="19" t="s">
        <v>19</v>
      </c>
      <c r="H43" s="19" t="s">
        <v>93</v>
      </c>
      <c r="I43" s="19" t="s">
        <v>21</v>
      </c>
      <c r="J43" s="10">
        <v>52000</v>
      </c>
      <c r="K43" s="10">
        <f t="shared" si="0"/>
        <v>23400</v>
      </c>
      <c r="L43" s="10">
        <f t="shared" si="1"/>
        <v>3600</v>
      </c>
      <c r="M43" s="10">
        <f t="shared" si="2"/>
        <v>79000</v>
      </c>
      <c r="N43" s="10">
        <f t="shared" si="3"/>
        <v>3950</v>
      </c>
      <c r="O43" s="10">
        <f t="shared" si="4"/>
        <v>75050</v>
      </c>
    </row>
    <row r="44" spans="2:15">
      <c r="B44" s="18">
        <v>150929</v>
      </c>
      <c r="C44" s="19" t="s">
        <v>107</v>
      </c>
      <c r="D44" s="19" t="s">
        <v>108</v>
      </c>
      <c r="E44" s="20">
        <v>26739</v>
      </c>
      <c r="F44" s="18" t="s">
        <v>32</v>
      </c>
      <c r="G44" s="19" t="s">
        <v>19</v>
      </c>
      <c r="H44" s="19" t="s">
        <v>38</v>
      </c>
      <c r="I44" s="19" t="s">
        <v>34</v>
      </c>
      <c r="J44" s="10">
        <v>58000</v>
      </c>
      <c r="K44" s="10">
        <f t="shared" si="0"/>
        <v>26100</v>
      </c>
      <c r="L44" s="10">
        <f t="shared" si="1"/>
        <v>3900</v>
      </c>
      <c r="M44" s="10">
        <f t="shared" si="2"/>
        <v>88000</v>
      </c>
      <c r="N44" s="10">
        <f t="shared" si="3"/>
        <v>4400</v>
      </c>
      <c r="O44" s="10">
        <f t="shared" si="4"/>
        <v>83600</v>
      </c>
    </row>
    <row r="45" spans="2:15">
      <c r="B45" s="18">
        <v>150982</v>
      </c>
      <c r="C45" s="19" t="s">
        <v>109</v>
      </c>
      <c r="D45" s="19" t="s">
        <v>110</v>
      </c>
      <c r="E45" s="20">
        <v>35574</v>
      </c>
      <c r="F45" s="18" t="s">
        <v>32</v>
      </c>
      <c r="G45" s="19" t="s">
        <v>19</v>
      </c>
      <c r="H45" s="19" t="s">
        <v>38</v>
      </c>
      <c r="I45" s="19" t="s">
        <v>46</v>
      </c>
      <c r="J45" s="10">
        <v>47000</v>
      </c>
      <c r="K45" s="10">
        <f t="shared" si="0"/>
        <v>21150</v>
      </c>
      <c r="L45" s="10">
        <f t="shared" si="1"/>
        <v>3350</v>
      </c>
      <c r="M45" s="10">
        <f t="shared" si="2"/>
        <v>71500</v>
      </c>
      <c r="N45" s="10">
        <f t="shared" si="3"/>
        <v>3575</v>
      </c>
      <c r="O45" s="10">
        <f t="shared" si="4"/>
        <v>67925</v>
      </c>
    </row>
    <row r="46" spans="2:15">
      <c r="B46" s="18">
        <v>150821</v>
      </c>
      <c r="C46" s="19" t="s">
        <v>111</v>
      </c>
      <c r="D46" s="19" t="s">
        <v>112</v>
      </c>
      <c r="E46" s="20">
        <v>29966</v>
      </c>
      <c r="F46" s="18" t="s">
        <v>32</v>
      </c>
      <c r="G46" s="19" t="s">
        <v>25</v>
      </c>
      <c r="H46" s="19" t="s">
        <v>65</v>
      </c>
      <c r="I46" s="19" t="s">
        <v>21</v>
      </c>
      <c r="J46" s="10">
        <v>26000</v>
      </c>
      <c r="K46" s="10">
        <f t="shared" si="0"/>
        <v>11700</v>
      </c>
      <c r="L46" s="10">
        <f t="shared" si="1"/>
        <v>2300</v>
      </c>
      <c r="M46" s="10">
        <f t="shared" si="2"/>
        <v>40000</v>
      </c>
      <c r="N46" s="10">
        <f t="shared" si="3"/>
        <v>2000</v>
      </c>
      <c r="O46" s="10">
        <f t="shared" si="4"/>
        <v>38000</v>
      </c>
    </row>
  </sheetData>
  <mergeCells count="5">
    <mergeCell ref="C2:H2"/>
    <mergeCell ref="C3:H3"/>
    <mergeCell ref="C4:H4"/>
    <mergeCell ref="C5:H5"/>
    <mergeCell ref="C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Arithmatic Functions</vt:lpstr>
      <vt:lpstr>Operators</vt:lpstr>
      <vt:lpstr>Depart</vt:lpstr>
      <vt:lpstr>Gender</vt:lpstr>
      <vt:lpstr>Reg</vt:lpstr>
      <vt:lpstr>Salary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Admin</cp:lastModifiedBy>
  <dcterms:created xsi:type="dcterms:W3CDTF">2015-06-05T18:17:20Z</dcterms:created>
  <dcterms:modified xsi:type="dcterms:W3CDTF">2026-02-10T14:50:25Z</dcterms:modified>
</cp:coreProperties>
</file>